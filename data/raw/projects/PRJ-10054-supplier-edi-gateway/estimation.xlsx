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 Summary" sheetId="1" state="visible" r:id="rId1"/>
    <sheet xmlns:r="http://schemas.openxmlformats.org/officeDocument/2006/relationships" name="Task Breakdown" sheetId="2" state="visible" r:id="rId2"/>
    <sheet xmlns:r="http://schemas.openxmlformats.org/officeDocument/2006/relationships" name="QA Estimates" sheetId="3" state="visible" r:id="rId3"/>
    <sheet xmlns:r="http://schemas.openxmlformats.org/officeDocument/2006/relationships" name="Dev Estimates" sheetId="4" state="visible" r:id="rId4"/>
    <sheet xmlns:r="http://schemas.openxmlformats.org/officeDocument/2006/relationships" name="Assumptions and Risks" sheetId="5" state="visible" r:id="rId5"/>
    <sheet xmlns:r="http://schemas.openxmlformats.org/officeDocument/2006/relationships" name="Sizing Guidelines" sheetId="6" state="visible" r:id="rId6"/>
    <sheet xmlns:r="http://schemas.openxmlformats.org/officeDocument/2006/relationships" name="Budget Summary" sheetId="7" state="visible" r:id="rId7"/>
    <sheet xmlns:r="http://schemas.openxmlformats.org/officeDocument/2006/relationships" name="Reference Data" sheetId="8" state="visible" r:id="rId8"/>
    <sheet xmlns:r="http://schemas.openxmlformats.org/officeDocument/2006/relationships" name="Jira Stories" sheetId="9" state="visible" r:id="rId9"/>
  </sheets>
  <definedNames>
    <definedName name="_xlnm._FilterDatabase" localSheetId="1" hidden="1">'Task Breakdown'!$A$1:$E$6</definedName>
    <definedName name="_xlnm._FilterDatabase" localSheetId="8" hidden="1">'Jira Stories'!$A$3:$J$10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b val="1"/>
      <color rgb="001a365d"/>
      <sz val="16"/>
    </font>
    <font>
      <b val="1"/>
      <sz val="11"/>
    </font>
    <font>
      <b val="1"/>
      <color rgb="00FFFFFF"/>
      <sz val="12"/>
    </font>
    <font>
      <b val="1"/>
      <color rgb="00FFFFFF"/>
    </font>
    <font>
      <b val="1"/>
      <sz val="14"/>
    </font>
    <font>
      <b val="1"/>
    </font>
    <font>
      <b val="1"/>
      <color rgb="001a365d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  <xf numFmtId="164" fontId="2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3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  <col width="15" customWidth="1" min="4" max="4"/>
    <col width="15" customWidth="1" min="5" max="5"/>
  </cols>
  <sheetData>
    <row r="4">
      <c r="A4" s="1" t="inlineStr">
        <is>
          <t>PROJECT ESTIMATION</t>
        </is>
      </c>
    </row>
    <row r="6">
      <c r="E6" s="2" t="inlineStr">
        <is>
          <t>NOTE:</t>
        </is>
      </c>
      <c r="F6" t="inlineStr">
        <is>
          <t>1 Point = 6 hours</t>
        </is>
      </c>
    </row>
    <row r="7">
      <c r="F7" t="inlineStr">
        <is>
          <t>1 Story Point = $600</t>
        </is>
      </c>
    </row>
    <row r="10">
      <c r="A10" s="3" t="inlineStr"/>
      <c r="B10" s="3" t="inlineStr">
        <is>
          <t>Scope Item</t>
        </is>
      </c>
      <c r="C10" s="3" t="inlineStr">
        <is>
          <t>Effort in Points</t>
        </is>
      </c>
      <c r="D10" s="3" t="inlineStr">
        <is>
          <t>(%)</t>
        </is>
      </c>
      <c r="E10" s="3" t="inlineStr">
        <is>
          <t>Category</t>
        </is>
      </c>
    </row>
    <row r="11">
      <c r="B11" t="inlineStr">
        <is>
          <t>Development Effort = Analysis + Build (Code &amp; Unit Test) + Code Reviews</t>
        </is>
      </c>
    </row>
    <row r="12">
      <c r="B12" t="inlineStr">
        <is>
          <t>QA Effort = Analysis, Planning, Test case design, Test data creation, Execution</t>
        </is>
      </c>
    </row>
    <row r="13">
      <c r="B13" t="inlineStr">
        <is>
          <t>Project Management - 30% of total Development effort</t>
        </is>
      </c>
      <c r="C13" s="4">
        <f>C35*0.3</f>
        <v/>
      </c>
      <c r="D13">
        <f>C13/C31</f>
        <v/>
      </c>
      <c r="E13" t="inlineStr">
        <is>
          <t>PM</t>
        </is>
      </c>
    </row>
    <row r="14">
      <c r="B14" t="inlineStr">
        <is>
          <t>Technical Architecture - 12% of total Development effort</t>
        </is>
      </c>
      <c r="C14" s="4">
        <f>C35*0.12</f>
        <v/>
      </c>
      <c r="D14">
        <f>C14/C31</f>
        <v/>
      </c>
      <c r="E14" t="inlineStr">
        <is>
          <t>ARCH</t>
        </is>
      </c>
    </row>
    <row r="15">
      <c r="B15" t="inlineStr">
        <is>
          <t>Defect Resolution Dev 8% of total Development effort</t>
        </is>
      </c>
      <c r="C15" s="4">
        <f>C35*0.08</f>
        <v/>
      </c>
      <c r="D15">
        <f>C15/C31</f>
        <v/>
      </c>
      <c r="E15" t="inlineStr">
        <is>
          <t>DEV</t>
        </is>
      </c>
    </row>
    <row r="16">
      <c r="B16" t="inlineStr">
        <is>
          <t>Defect Resolution QA 8% of total QA effort</t>
        </is>
      </c>
      <c r="C16" s="4">
        <f>C38*0.08</f>
        <v/>
      </c>
      <c r="D16">
        <f>C16/C31</f>
        <v/>
      </c>
      <c r="E16" t="inlineStr">
        <is>
          <t>QA</t>
        </is>
      </c>
    </row>
    <row r="17">
      <c r="B17" t="inlineStr">
        <is>
          <t>Regression Testing - 15% of total QA effort</t>
        </is>
      </c>
      <c r="C17" s="4">
        <f>C38*0.15</f>
        <v/>
      </c>
      <c r="D17">
        <f>C17/C31</f>
        <v/>
      </c>
      <c r="E17" t="inlineStr">
        <is>
          <t>QA</t>
        </is>
      </c>
    </row>
    <row r="18">
      <c r="B18" t="inlineStr">
        <is>
          <t>Test Automation - 10% of total QA effort</t>
        </is>
      </c>
      <c r="C18" s="4">
        <f>C38*0.10</f>
        <v/>
      </c>
      <c r="D18">
        <f>C18/C31</f>
        <v/>
      </c>
      <c r="E18" t="inlineStr">
        <is>
          <t>QA</t>
        </is>
      </c>
    </row>
    <row r="19">
      <c r="B19" t="inlineStr">
        <is>
          <t>Environment Setup - 3% of total Development effort</t>
        </is>
      </c>
      <c r="C19" s="4">
        <f>C35*0.03</f>
        <v/>
      </c>
      <c r="D19">
        <f>C19/C31</f>
        <v/>
      </c>
      <c r="E19" t="inlineStr">
        <is>
          <t>INFRA</t>
        </is>
      </c>
    </row>
    <row r="20">
      <c r="B20" t="inlineStr">
        <is>
          <t>Performance Testing - 5% of total QA effort</t>
        </is>
      </c>
      <c r="C20" s="4">
        <f>C38*0.05</f>
        <v/>
      </c>
      <c r="D20">
        <f>C20/C31</f>
        <v/>
      </c>
      <c r="E20" t="inlineStr">
        <is>
          <t>QA</t>
        </is>
      </c>
    </row>
    <row r="21">
      <c r="B21" t="inlineStr">
        <is>
          <t>Code Quality/Tech Debt - 10% of total Development effort</t>
        </is>
      </c>
      <c r="C21" s="4">
        <f>C35*0.10</f>
        <v/>
      </c>
      <c r="D21">
        <f>C21/C31</f>
        <v/>
      </c>
      <c r="E21" t="inlineStr">
        <is>
          <t>DEV</t>
        </is>
      </c>
    </row>
    <row r="22">
      <c r="B22" t="inlineStr">
        <is>
          <t>Integration Testing</t>
        </is>
      </c>
      <c r="C22" s="4" t="n">
        <v>12</v>
      </c>
      <c r="D22">
        <f>C22/C31</f>
        <v/>
      </c>
      <c r="E22" t="inlineStr">
        <is>
          <t>QA</t>
        </is>
      </c>
    </row>
    <row r="23">
      <c r="B23" t="inlineStr">
        <is>
          <t>End to End Testing</t>
        </is>
      </c>
      <c r="C23" s="4" t="n">
        <v>8</v>
      </c>
      <c r="D23">
        <f>C23/C31</f>
        <v/>
      </c>
      <c r="E23" t="inlineStr">
        <is>
          <t>QA</t>
        </is>
      </c>
    </row>
    <row r="24">
      <c r="B24" t="inlineStr">
        <is>
          <t>Dev Support during Testing - 8% of total Development effort</t>
        </is>
      </c>
      <c r="C24" s="4" t="n">
        <v>0</v>
      </c>
      <c r="D24">
        <f>C24/C31</f>
        <v/>
      </c>
      <c r="E24" t="inlineStr">
        <is>
          <t>DEV</t>
        </is>
      </c>
    </row>
    <row r="25">
      <c r="B25" t="inlineStr">
        <is>
          <t>Post Go-Live Support - 10% of total effort</t>
        </is>
      </c>
      <c r="C25" s="4" t="n">
        <v>0</v>
      </c>
      <c r="D25">
        <f>C25/C31</f>
        <v/>
      </c>
      <c r="E25" t="inlineStr">
        <is>
          <t>SUP</t>
        </is>
      </c>
    </row>
    <row r="26">
      <c r="B26" t="inlineStr">
        <is>
          <t>Release Coordination - 3% of total Development effort</t>
        </is>
      </c>
      <c r="C26" s="4">
        <f>C35*0.03</f>
        <v/>
      </c>
      <c r="E26" t="inlineStr">
        <is>
          <t>REL</t>
        </is>
      </c>
    </row>
    <row r="27">
      <c r="B27" t="inlineStr">
        <is>
          <t>Deployment Activities - 4% of total Development effort</t>
        </is>
      </c>
      <c r="C27" s="4">
        <f>C35*0.04</f>
        <v/>
      </c>
      <c r="E27" t="inlineStr">
        <is>
          <t>REL</t>
        </is>
      </c>
    </row>
    <row r="28">
      <c r="B28" t="inlineStr">
        <is>
          <t>Infrastructure Setup - 5% of total Development effort</t>
        </is>
      </c>
      <c r="C28" s="4">
        <f>C35*0.05</f>
        <v/>
      </c>
      <c r="E28" t="inlineStr">
        <is>
          <t>INFRA</t>
        </is>
      </c>
    </row>
    <row r="29">
      <c r="B29" t="inlineStr">
        <is>
          <t>Documentation - 2% of total Development effort</t>
        </is>
      </c>
      <c r="C29" s="4">
        <f>C35*0.02</f>
        <v/>
      </c>
      <c r="E29" t="inlineStr">
        <is>
          <t>DOC</t>
        </is>
      </c>
    </row>
    <row r="31">
      <c r="B31" s="2" t="inlineStr">
        <is>
          <t>TOTAL Estimate (In Points):</t>
        </is>
      </c>
      <c r="C31" s="2" t="n">
        <v>312.8</v>
      </c>
      <c r="D31" s="5" t="inlineStr">
        <is>
          <t>100.00%</t>
        </is>
      </c>
    </row>
    <row r="32">
      <c r="B32" s="2" t="inlineStr">
        <is>
          <t>Total Estimate ($):</t>
        </is>
      </c>
      <c r="C32" s="6">
        <f>C31*600</f>
        <v/>
      </c>
    </row>
    <row r="35">
      <c r="B35" s="2" t="inlineStr">
        <is>
          <t>Total Dev Effort (In Points):</t>
        </is>
      </c>
      <c r="C35" s="2" t="n">
        <v>155</v>
      </c>
    </row>
    <row r="36">
      <c r="B36" s="2" t="inlineStr">
        <is>
          <t>Total Dev Effort ($):</t>
        </is>
      </c>
      <c r="C36" s="6">
        <f>C35*600</f>
        <v/>
      </c>
    </row>
    <row r="38">
      <c r="B38" s="2" t="inlineStr">
        <is>
          <t>Total QA Effort (In Points):</t>
        </is>
      </c>
      <c r="C38" s="2" t="n">
        <v>88</v>
      </c>
    </row>
    <row r="39">
      <c r="B39" s="2" t="inlineStr">
        <is>
          <t>Total QA Effort ($):</t>
        </is>
      </c>
      <c r="C39" s="6">
        <f>C38*600</f>
        <v/>
      </c>
    </row>
  </sheetData>
  <mergeCells count="1"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25" customWidth="1" min="3" max="3"/>
    <col width="40" customWidth="1" min="4" max="4"/>
    <col width="20" customWidth="1" min="5" max="5"/>
  </cols>
  <sheetData>
    <row r="1">
      <c r="A1" s="7" t="inlineStr">
        <is>
          <t>Ticket ID</t>
        </is>
      </c>
      <c r="B1" s="7" t="inlineStr">
        <is>
          <t>Task Description</t>
        </is>
      </c>
      <c r="C1" s="7" t="inlineStr">
        <is>
          <t>Story Points</t>
        </is>
      </c>
      <c r="D1" s="7" t="inlineStr">
        <is>
          <t>Notes</t>
        </is>
      </c>
      <c r="E1" s="7" t="inlineStr">
        <is>
          <t>Module Affected</t>
        </is>
      </c>
    </row>
    <row r="2">
      <c r="A2" t="inlineStr"/>
      <c r="B2" s="8" t="inlineStr">
        <is>
          <t>EDI message parser SVC7010
850/855/856/810 support
X12 format handling</t>
        </is>
      </c>
      <c r="C2" s="8" t="inlineStr">
        <is>
          <t>DEV: 40 Points
QA: 22 Points</t>
        </is>
      </c>
      <c r="D2" t="inlineStr">
        <is>
          <t>850/855/856/810</t>
        </is>
      </c>
      <c r="E2" t="inlineStr">
        <is>
          <t>EDI</t>
        </is>
      </c>
    </row>
    <row r="3">
      <c r="A3" t="inlineStr"/>
      <c r="B3" s="8" t="inlineStr">
        <is>
          <t>PO transmission service SVC7011
Outbound 850 messages
Acknowledgment handling</t>
        </is>
      </c>
      <c r="C3" s="8" t="inlineStr">
        <is>
          <t>DEV: 35 Points
QA: 20 Points</t>
        </is>
      </c>
      <c r="D3" t="inlineStr">
        <is>
          <t>Outbound</t>
        </is>
      </c>
      <c r="E3" t="inlineStr">
        <is>
          <t>EDI</t>
        </is>
      </c>
    </row>
    <row r="4">
      <c r="A4" t="inlineStr"/>
      <c r="B4" s="8" t="inlineStr">
        <is>
          <t>ASN processor SVC7012
Inbound 856 processing
Receiving integration</t>
        </is>
      </c>
      <c r="C4" s="8" t="inlineStr">
        <is>
          <t>DEV: 35 Points
QA: 20 Points</t>
        </is>
      </c>
      <c r="D4" t="inlineStr">
        <is>
          <t>Inbound</t>
        </is>
      </c>
      <c r="E4" t="inlineStr">
        <is>
          <t>EDI</t>
        </is>
      </c>
    </row>
    <row r="5">
      <c r="A5" t="inlineStr"/>
      <c r="B5" s="8" t="inlineStr">
        <is>
          <t>Invoice matcher SVC7013
3-way matching
Discrepancy handling</t>
        </is>
      </c>
      <c r="C5" s="8" t="inlineStr">
        <is>
          <t>DEV: 30 Points
QA: 18 Points</t>
        </is>
      </c>
      <c r="D5" t="inlineStr">
        <is>
          <t>3-way match</t>
        </is>
      </c>
      <c r="E5" t="inlineStr">
        <is>
          <t>EDI</t>
        </is>
      </c>
    </row>
    <row r="6">
      <c r="A6" t="inlineStr"/>
      <c r="B6" s="8" t="inlineStr">
        <is>
          <t>Batch jobs and retry logic
Daily transmission
Error recovery</t>
        </is>
      </c>
      <c r="C6" s="8" t="inlineStr">
        <is>
          <t>DEV: 15 Points
QA: 8 Points</t>
        </is>
      </c>
      <c r="D6" t="inlineStr">
        <is>
          <t>Error handling</t>
        </is>
      </c>
      <c r="E6" t="inlineStr">
        <is>
          <t>Batch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QA Estimation Details</t>
        </is>
      </c>
    </row>
    <row r="3">
      <c r="A3" t="inlineStr">
        <is>
          <t>Total QA Points:</t>
        </is>
      </c>
      <c r="B3" s="10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Development Estimation Details</t>
        </is>
      </c>
    </row>
    <row r="3">
      <c r="A3" t="inlineStr">
        <is>
          <t>Total Dev Points:</t>
        </is>
      </c>
      <c r="B3" s="10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50" customWidth="1" min="4" max="4"/>
  </cols>
  <sheetData>
    <row r="1">
      <c r="A1" s="11" t="inlineStr">
        <is>
          <t>ASSUMPTIONS</t>
        </is>
      </c>
    </row>
    <row r="3">
      <c r="A3" s="12" t="inlineStr">
        <is>
          <t>• Suppliers support EDI X12 standard</t>
        </is>
      </c>
    </row>
    <row r="4">
      <c r="A4" s="12" t="inlineStr">
        <is>
          <t>• VAN connectivity established</t>
        </is>
      </c>
    </row>
    <row r="5">
      <c r="A5" s="12" t="inlineStr">
        <is>
          <t>• EDI transaction sets 850, 855, 856, 810 required</t>
        </is>
      </c>
    </row>
    <row r="6">
      <c r="A6" s="12" t="inlineStr">
        <is>
          <t>• Supplier trading partner agreements signed</t>
        </is>
      </c>
    </row>
    <row r="9">
      <c r="A9" s="11" t="inlineStr">
        <is>
          <t>DEPENDENCIES</t>
        </is>
      </c>
    </row>
    <row r="11">
      <c r="A11" s="12" t="inlineStr">
        <is>
          <t>• VAN service provider contract executed</t>
        </is>
      </c>
    </row>
    <row r="12">
      <c r="A12" s="12" t="inlineStr">
        <is>
          <t>• Supplier onboarding process defined</t>
        </is>
      </c>
    </row>
    <row r="13">
      <c r="A13" s="12" t="inlineStr">
        <is>
          <t>• Procurement system EDI-ready</t>
        </is>
      </c>
    </row>
    <row r="16">
      <c r="A16" s="11" t="inlineStr">
        <is>
          <t>RISKS</t>
        </is>
      </c>
    </row>
    <row r="17">
      <c r="A17" s="13" t="inlineStr">
        <is>
          <t>Risk</t>
        </is>
      </c>
      <c r="B17" s="13" t="inlineStr">
        <is>
          <t>Probability</t>
        </is>
      </c>
      <c r="C17" s="13" t="inlineStr">
        <is>
          <t>Impact</t>
        </is>
      </c>
      <c r="D17" s="13" t="inlineStr">
        <is>
          <t>Mitigation</t>
        </is>
      </c>
    </row>
    <row r="18">
      <c r="A18" s="8" t="inlineStr">
        <is>
          <t>Supplier EDI capability varies</t>
        </is>
      </c>
      <c r="B18" s="8" t="inlineStr">
        <is>
          <t>High</t>
        </is>
      </c>
      <c r="C18" s="8" t="inlineStr">
        <is>
          <t>Medium</t>
        </is>
      </c>
      <c r="D18" s="8" t="inlineStr">
        <is>
          <t>Tiered onboarding approach</t>
        </is>
      </c>
    </row>
    <row r="19">
      <c r="A19" s="8" t="inlineStr">
        <is>
          <t>Message format inconsistencies</t>
        </is>
      </c>
      <c r="B19" s="8" t="inlineStr">
        <is>
          <t>Medium</t>
        </is>
      </c>
      <c r="C19" s="8" t="inlineStr">
        <is>
          <t>Medium</t>
        </is>
      </c>
      <c r="D19" s="8" t="inlineStr">
        <is>
          <t>Robust parsing with error reporting</t>
        </is>
      </c>
    </row>
    <row r="20">
      <c r="A20" s="8" t="inlineStr">
        <is>
          <t>VAN service reliability</t>
        </is>
      </c>
      <c r="B20" s="8" t="inlineStr">
        <is>
          <t>Low</t>
        </is>
      </c>
      <c r="C20" s="8" t="inlineStr">
        <is>
          <t>High</t>
        </is>
      </c>
      <c r="D20" s="8" t="inlineStr">
        <is>
          <t>SLA monitoring and backup provider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9" t="inlineStr">
        <is>
          <t>Story Point Sizing Guidelines</t>
        </is>
      </c>
    </row>
    <row r="3">
      <c r="A3" s="10" t="inlineStr">
        <is>
          <t>Points</t>
        </is>
      </c>
      <c r="B3" s="10" t="inlineStr">
        <is>
          <t>Description</t>
        </is>
      </c>
    </row>
    <row r="4">
      <c r="A4" t="inlineStr">
        <is>
          <t>1-2 Points</t>
        </is>
      </c>
      <c r="B4" t="inlineStr">
        <is>
          <t>Small, well-understood changes</t>
        </is>
      </c>
    </row>
    <row r="5">
      <c r="A5" t="inlineStr">
        <is>
          <t>3-5 Points</t>
        </is>
      </c>
      <c r="B5" t="inlineStr">
        <is>
          <t>Medium complexity, some unknowns</t>
        </is>
      </c>
    </row>
    <row r="6">
      <c r="A6" t="inlineStr">
        <is>
          <t>6-8 Points</t>
        </is>
      </c>
      <c r="B6" t="inlineStr">
        <is>
          <t>Complex changes, multiple components</t>
        </is>
      </c>
    </row>
    <row r="7">
      <c r="A7" t="inlineStr">
        <is>
          <t>9-13 Points</t>
        </is>
      </c>
      <c r="B7" t="inlineStr">
        <is>
          <t>Very complex, requires research</t>
        </is>
      </c>
    </row>
    <row r="8">
      <c r="A8" t="inlineStr">
        <is>
          <t>13+ Points</t>
        </is>
      </c>
      <c r="B8" t="inlineStr">
        <is>
          <t>Should be broken down into smaller stories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9" t="inlineStr">
        <is>
          <t>Budget Summary</t>
        </is>
      </c>
    </row>
    <row r="3">
      <c r="A3" t="inlineStr">
        <is>
          <t>Total Project Budget:</t>
        </is>
      </c>
      <c r="B3" s="14">
        <f>$187,680.0</f>
        <v/>
      </c>
    </row>
    <row r="5">
      <c r="A5" t="inlineStr">
        <is>
          <t>Development:</t>
        </is>
      </c>
      <c r="B5">
        <f>$93,000</f>
        <v/>
      </c>
    </row>
    <row r="6">
      <c r="A6" t="inlineStr">
        <is>
          <t>QA:</t>
        </is>
      </c>
      <c r="B6">
        <f>$52,800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Reference Data</t>
        </is>
      </c>
    </row>
    <row r="3">
      <c r="A3" t="inlineStr">
        <is>
          <t>Hourly Rate: $100</t>
        </is>
      </c>
    </row>
    <row r="4">
      <c r="A4" t="inlineStr">
        <is>
          <t>Points to Hours: 1 Point = 6 Hours</t>
        </is>
      </c>
    </row>
    <row r="5">
      <c r="A5" t="inlineStr">
        <is>
          <t>Story Point Value: $600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60" customWidth="1" min="3" max="3"/>
    <col width="12" customWidth="1" min="4" max="4"/>
    <col width="12" customWidth="1" min="5" max="5"/>
    <col width="15" customWidth="1" min="6" max="6"/>
    <col width="20" customWidth="1" min="7" max="7"/>
    <col width="15" customWidth="1" min="8" max="8"/>
    <col width="20" customWidth="1" min="9" max="9"/>
    <col width="30" customWidth="1" min="10" max="10"/>
  </cols>
  <sheetData>
    <row r="1">
      <c r="A1" s="11" t="inlineStr">
        <is>
          <t>PRJ-10054 - Jira Stories</t>
        </is>
      </c>
    </row>
    <row r="3">
      <c r="A3" s="15" t="inlineStr">
        <is>
          <t>Story Key</t>
        </is>
      </c>
      <c r="B3" s="15" t="inlineStr">
        <is>
          <t>Summary</t>
        </is>
      </c>
      <c r="C3" s="15" t="inlineStr">
        <is>
          <t>Description</t>
        </is>
      </c>
      <c r="D3" s="15" t="inlineStr">
        <is>
          <t>Story Points</t>
        </is>
      </c>
      <c r="E3" s="15" t="inlineStr">
        <is>
          <t>Priority</t>
        </is>
      </c>
      <c r="F3" s="15" t="inlineStr">
        <is>
          <t>Status</t>
        </is>
      </c>
      <c r="G3" s="15" t="inlineStr">
        <is>
          <t>Assignee</t>
        </is>
      </c>
      <c r="H3" s="15" t="inlineStr">
        <is>
          <t>Sprint</t>
        </is>
      </c>
      <c r="I3" s="15" t="inlineStr">
        <is>
          <t>Component</t>
        </is>
      </c>
      <c r="J3" s="15" t="inlineStr">
        <is>
          <t>Labels</t>
        </is>
      </c>
    </row>
    <row r="4">
      <c r="A4" s="8" t="inlineStr">
        <is>
          <t>EDI-4001</t>
        </is>
      </c>
      <c r="B4" s="8" t="inlineStr">
        <is>
          <t>Build EDI message parser for X12 formats (SVC7010)</t>
        </is>
      </c>
      <c r="C4" s="8" t="inlineStr">
        <is>
          <t>As a system, I need to parse EDI X12 messages (850, 855, 856, 810) from suppliers.
Acceptance Criteria:
- Support for EDI 850 (Purchase Order)
- Support for EDI 855 (PO Acknowledgment)
- Support for EDI 856 (Advance Ship Notice)
- Support for EDI 810 (Invoice)
- X12 format validation and error handling
- Configurable parsing rules per supplier</t>
        </is>
      </c>
      <c r="D4" s="8" t="n">
        <v>13</v>
      </c>
      <c r="E4" s="8" t="inlineStr">
        <is>
          <t>High</t>
        </is>
      </c>
      <c r="F4" s="8" t="inlineStr">
        <is>
          <t>To Do</t>
        </is>
      </c>
      <c r="G4" s="8" t="inlineStr">
        <is>
          <t>A.Young</t>
        </is>
      </c>
      <c r="H4" s="8" t="inlineStr">
        <is>
          <t>Sprint 1</t>
        </is>
      </c>
      <c r="I4" s="8" t="inlineStr">
        <is>
          <t>EDI Integration</t>
        </is>
      </c>
      <c r="J4" s="8" t="inlineStr">
        <is>
          <t>backend, edi, x12, parser</t>
        </is>
      </c>
    </row>
    <row r="5">
      <c r="A5" s="8" t="inlineStr">
        <is>
          <t>EDI-4002</t>
        </is>
      </c>
      <c r="B5" s="8" t="inlineStr">
        <is>
          <t>Implement PO transmission service (SVC7011)</t>
        </is>
      </c>
      <c r="C5" s="8" t="inlineStr">
        <is>
          <t>As a procurement system, I need to send purchase orders to suppliers via EDI 850.
Acceptance Criteria:
- Generate EDI 850 from internal PO format
- VAN connectivity for transmission
- Transmission confirmation tracking
- Retry logic for failed transmissions
- Support for multiple VAN protocols (AS2, FTP, HTTPS)</t>
        </is>
      </c>
      <c r="D5" s="8" t="n">
        <v>8</v>
      </c>
      <c r="E5" s="8" t="inlineStr">
        <is>
          <t>High</t>
        </is>
      </c>
      <c r="F5" s="8" t="inlineStr">
        <is>
          <t>To Do</t>
        </is>
      </c>
      <c r="G5" s="8" t="inlineStr">
        <is>
          <t>B.King</t>
        </is>
      </c>
      <c r="H5" s="8" t="inlineStr">
        <is>
          <t>Sprint 1</t>
        </is>
      </c>
      <c r="I5" s="8" t="inlineStr">
        <is>
          <t>EDI Integration</t>
        </is>
      </c>
      <c r="J5" s="8" t="inlineStr">
        <is>
          <t>backend, edi, outbound, van</t>
        </is>
      </c>
    </row>
    <row r="6">
      <c r="A6" s="8" t="inlineStr">
        <is>
          <t>EDI-4003</t>
        </is>
      </c>
      <c r="B6" s="8" t="inlineStr">
        <is>
          <t>Develop ASN processor (SVC7012)</t>
        </is>
      </c>
      <c r="C6" s="8" t="inlineStr">
        <is>
          <t>As a receiving system, I need to process inbound EDI 856 advance ship notices.
Acceptance Criteria:
- Parse EDI 856 messages
- Validate against original PO
- Create receiving documents
- Update inventory expectations
- Exception handling for mismatches
- Integration with WMS receiving module</t>
        </is>
      </c>
      <c r="D6" s="8" t="n">
        <v>8</v>
      </c>
      <c r="E6" s="8" t="inlineStr">
        <is>
          <t>High</t>
        </is>
      </c>
      <c r="F6" s="8" t="inlineStr">
        <is>
          <t>To Do</t>
        </is>
      </c>
      <c r="G6" s="8" t="inlineStr">
        <is>
          <t>C.Wright</t>
        </is>
      </c>
      <c r="H6" s="8" t="inlineStr">
        <is>
          <t>Sprint 2</t>
        </is>
      </c>
      <c r="I6" s="8" t="inlineStr">
        <is>
          <t>EDI Integration</t>
        </is>
      </c>
      <c r="J6" s="8" t="inlineStr">
        <is>
          <t>backend, edi, inbound, asn</t>
        </is>
      </c>
    </row>
    <row r="7">
      <c r="A7" s="8" t="inlineStr">
        <is>
          <t>EDI-4004</t>
        </is>
      </c>
      <c r="B7" s="8" t="inlineStr">
        <is>
          <t>Build invoice matching service (SVC7013)</t>
        </is>
      </c>
      <c r="C7" s="8" t="inlineStr">
        <is>
          <t>As a finance system, I need 3-way matching of EDI 810 invoices against PO and receipt.
Acceptance Criteria:
- Parse EDI 810 invoice messages
- 3-way match: PO vs Receipt vs Invoice
- Tolerance checking for quantity/price variances
- Auto-approval for exact matches
- Exception queue for variances
- Integration with AP system</t>
        </is>
      </c>
      <c r="D7" s="8" t="n">
        <v>8</v>
      </c>
      <c r="E7" s="8" t="inlineStr">
        <is>
          <t>Medium</t>
        </is>
      </c>
      <c r="F7" s="8" t="inlineStr">
        <is>
          <t>To Do</t>
        </is>
      </c>
      <c r="G7" s="8" t="inlineStr">
        <is>
          <t>D.Lopez</t>
        </is>
      </c>
      <c r="H7" s="8" t="inlineStr">
        <is>
          <t>Sprint 2</t>
        </is>
      </c>
      <c r="I7" s="8" t="inlineStr">
        <is>
          <t>EDI Integration</t>
        </is>
      </c>
      <c r="J7" s="8" t="inlineStr">
        <is>
          <t>backend, edi, invoice, 3-way-match</t>
        </is>
      </c>
    </row>
    <row r="8">
      <c r="A8" s="8" t="inlineStr">
        <is>
          <t>EDI-4005</t>
        </is>
      </c>
      <c r="B8" s="8" t="inlineStr">
        <is>
          <t>Create daily EDI transmission batch job (BTH7010)</t>
        </is>
      </c>
      <c r="C8" s="8" t="inlineStr">
        <is>
          <t>As a system, I need scheduled batch processing for EDI transmissions.
Acceptance Criteria:
- Daily transmission job for outbound 850 messages
- Polling for inbound messages from VAN
- Failed message retry with exponential backoff
- Transmission status reporting
- Archival of processed messages</t>
        </is>
      </c>
      <c r="D8" s="8" t="n">
        <v>5</v>
      </c>
      <c r="E8" s="8" t="inlineStr">
        <is>
          <t>Medium</t>
        </is>
      </c>
      <c r="F8" s="8" t="inlineStr">
        <is>
          <t>To Do</t>
        </is>
      </c>
      <c r="G8" s="8" t="inlineStr">
        <is>
          <t>E.Hill</t>
        </is>
      </c>
      <c r="H8" s="8" t="inlineStr">
        <is>
          <t>Sprint 2</t>
        </is>
      </c>
      <c r="I8" s="8" t="inlineStr">
        <is>
          <t>Batch Processing</t>
        </is>
      </c>
      <c r="J8" s="8" t="inlineStr">
        <is>
          <t>backend, batch, edi, scheduler</t>
        </is>
      </c>
    </row>
    <row r="9">
      <c r="A9" s="8" t="inlineStr">
        <is>
          <t>EDI-4006</t>
        </is>
      </c>
      <c r="B9" s="8" t="inlineStr">
        <is>
          <t>Design EDI transaction logging database</t>
        </is>
      </c>
      <c r="C9" s="8" t="inlineStr">
        <is>
          <t>As a system, I need to log all EDI transactions for audit and troubleshooting.
Acceptance Criteria:
- Create TBL_EDI_LOG for transaction history
- Create TBL_SUPPLIER_MAP for supplier EDI configuration
- Store raw EDI messages
- Transaction status tracking
- Indexes on supplier_id, transaction_type, timestamp
- Data retention (7 years for compliance)</t>
        </is>
      </c>
      <c r="D9" s="8" t="n">
        <v>5</v>
      </c>
      <c r="E9" s="8" t="inlineStr">
        <is>
          <t>High</t>
        </is>
      </c>
      <c r="F9" s="8" t="inlineStr">
        <is>
          <t>To Do</t>
        </is>
      </c>
      <c r="G9" s="8" t="inlineStr">
        <is>
          <t>F.Scott</t>
        </is>
      </c>
      <c r="H9" s="8" t="inlineStr">
        <is>
          <t>Sprint 1</t>
        </is>
      </c>
      <c r="I9" s="8" t="inlineStr">
        <is>
          <t>Database</t>
        </is>
      </c>
      <c r="J9" s="8" t="inlineStr">
        <is>
          <t>backend, database, edi, audit</t>
        </is>
      </c>
    </row>
    <row r="10">
      <c r="A10" s="8" t="inlineStr">
        <is>
          <t>EDI-4007</t>
        </is>
      </c>
      <c r="B10" s="8" t="inlineStr">
        <is>
          <t>Build supplier EDI onboarding tools</t>
        </is>
      </c>
      <c r="C10" s="8" t="inlineStr">
        <is>
          <t>As a procurement manager, I need tools to onboard suppliers to EDI.
Acceptance Criteria:
- Supplier EDI capability assessment form
- Trading partner configuration UI
- Test message exchange capability
- EDI mapping documentation generator
- Supplier onboarding checklist tracker</t>
        </is>
      </c>
      <c r="D10" s="8" t="n">
        <v>5</v>
      </c>
      <c r="E10" s="8" t="inlineStr">
        <is>
          <t>Low</t>
        </is>
      </c>
      <c r="F10" s="8" t="inlineStr">
        <is>
          <t>To Do</t>
        </is>
      </c>
      <c r="G10" s="8" t="inlineStr">
        <is>
          <t>G.Green</t>
        </is>
      </c>
      <c r="H10" s="8" t="inlineStr">
        <is>
          <t>Sprint 3</t>
        </is>
      </c>
      <c r="I10" s="8" t="inlineStr">
        <is>
          <t>Configuration</t>
        </is>
      </c>
      <c r="J10" s="8" t="inlineStr">
        <is>
          <t>frontend, edi, onboarding, admin</t>
        </is>
      </c>
    </row>
  </sheetData>
  <autoFilter ref="A3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2026-01-24T04:24:57Z</dcterms:created>
  <dcterms:modified xmlns:dcterms="http://purl.org/dc/terms/" xmlns:xsi="http://www.w3.org/2001/XMLSchema-instance" xsi:type="dcterms:W3CDTF">2026-01-24T04:24:57Z</dcterms:modified>
</cp:coreProperties>
</file>