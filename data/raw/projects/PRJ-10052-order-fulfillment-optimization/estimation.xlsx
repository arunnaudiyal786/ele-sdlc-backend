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stimate Summary" sheetId="1" state="visible" r:id="rId1"/>
    <sheet xmlns:r="http://schemas.openxmlformats.org/officeDocument/2006/relationships" name="Task Breakdown" sheetId="2" state="visible" r:id="rId2"/>
    <sheet xmlns:r="http://schemas.openxmlformats.org/officeDocument/2006/relationships" name="QA Estimates" sheetId="3" state="visible" r:id="rId3"/>
    <sheet xmlns:r="http://schemas.openxmlformats.org/officeDocument/2006/relationships" name="Dev Estimates" sheetId="4" state="visible" r:id="rId4"/>
    <sheet xmlns:r="http://schemas.openxmlformats.org/officeDocument/2006/relationships" name="Assumptions and Risks" sheetId="5" state="visible" r:id="rId5"/>
    <sheet xmlns:r="http://schemas.openxmlformats.org/officeDocument/2006/relationships" name="Sizing Guidelines" sheetId="6" state="visible" r:id="rId6"/>
    <sheet xmlns:r="http://schemas.openxmlformats.org/officeDocument/2006/relationships" name="Budget Summary" sheetId="7" state="visible" r:id="rId7"/>
    <sheet xmlns:r="http://schemas.openxmlformats.org/officeDocument/2006/relationships" name="Reference Data" sheetId="8" state="visible" r:id="rId8"/>
    <sheet xmlns:r="http://schemas.openxmlformats.org/officeDocument/2006/relationships" name="Jira Stories" sheetId="9" state="visible" r:id="rId9"/>
  </sheets>
  <definedNames>
    <definedName name="_xlnm._FilterDatabase" localSheetId="1" hidden="1">'Task Breakdown'!$A$1:$E$6</definedName>
    <definedName name="_xlnm._FilterDatabase" localSheetId="8" hidden="1">'Jira Stories'!$A$3:$J$10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10">
    <font>
      <name val="Calibri"/>
      <family val="2"/>
      <color theme="1"/>
      <sz val="11"/>
      <scheme val="minor"/>
    </font>
    <font>
      <b val="1"/>
      <color rgb="001a365d"/>
      <sz val="16"/>
    </font>
    <font>
      <b val="1"/>
      <sz val="11"/>
    </font>
    <font>
      <b val="1"/>
      <color rgb="00FFFFFF"/>
      <sz val="12"/>
    </font>
    <font>
      <b val="1"/>
      <color rgb="00FFFFFF"/>
    </font>
    <font>
      <b val="1"/>
      <sz val="14"/>
    </font>
    <font>
      <b val="1"/>
    </font>
    <font>
      <b val="1"/>
      <color rgb="001a365d"/>
      <sz val="14"/>
    </font>
    <font>
      <b val="1"/>
      <sz val="12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3cd"/>
        <bgColor rgb="00fff3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10" fontId="0" fillId="0" borderId="0" pivotButton="0" quotePrefix="0" xfId="0"/>
    <xf numFmtId="164" fontId="2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wrapText="1"/>
    </xf>
    <xf numFmtId="0" fontId="4" fillId="2" borderId="0" pivotButton="0" quotePrefix="0" xfId="0"/>
    <xf numFmtId="0" fontId="8" fillId="0" borderId="0" pivotButton="0" quotePrefix="0" xfId="0"/>
    <xf numFmtId="0" fontId="9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4:F39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5" customWidth="1" min="4" max="4"/>
    <col width="15" customWidth="1" min="5" max="5"/>
  </cols>
  <sheetData>
    <row r="4">
      <c r="A4" s="1" t="inlineStr">
        <is>
          <t>PROJECT ESTIMATION</t>
        </is>
      </c>
    </row>
    <row r="6">
      <c r="E6" s="2" t="inlineStr">
        <is>
          <t>NOTE:</t>
        </is>
      </c>
      <c r="F6" t="inlineStr">
        <is>
          <t>1 Point = 6 hours</t>
        </is>
      </c>
    </row>
    <row r="7">
      <c r="F7" t="inlineStr">
        <is>
          <t>1 Story Point = $600</t>
        </is>
      </c>
    </row>
    <row r="10">
      <c r="A10" s="3" t="inlineStr"/>
      <c r="B10" s="3" t="inlineStr">
        <is>
          <t>Scope Item</t>
        </is>
      </c>
      <c r="C10" s="3" t="inlineStr">
        <is>
          <t>Effort in Points</t>
        </is>
      </c>
      <c r="D10" s="3" t="inlineStr">
        <is>
          <t>(%)</t>
        </is>
      </c>
      <c r="E10" s="3" t="inlineStr">
        <is>
          <t>Category</t>
        </is>
      </c>
    </row>
    <row r="11">
      <c r="B11" t="inlineStr">
        <is>
          <t>Development Effort = Analysis + Build (Code &amp; Unit Test) + Code Reviews</t>
        </is>
      </c>
    </row>
    <row r="12">
      <c r="B12" t="inlineStr">
        <is>
          <t>QA Effort = Analysis, Planning, Test case design, Test data creation, Execution</t>
        </is>
      </c>
    </row>
    <row r="13">
      <c r="B13" t="inlineStr">
        <is>
          <t>Project Management - 30% of total Development effort</t>
        </is>
      </c>
      <c r="C13" s="4">
        <f>C35*0.3</f>
        <v/>
      </c>
      <c r="D13">
        <f>C13/C31</f>
        <v/>
      </c>
      <c r="E13" t="inlineStr">
        <is>
          <t>PM</t>
        </is>
      </c>
    </row>
    <row r="14">
      <c r="B14" t="inlineStr">
        <is>
          <t>Technical Architecture - 12% of total Development effort</t>
        </is>
      </c>
      <c r="C14" s="4">
        <f>C35*0.12</f>
        <v/>
      </c>
      <c r="D14">
        <f>C14/C31</f>
        <v/>
      </c>
      <c r="E14" t="inlineStr">
        <is>
          <t>ARCH</t>
        </is>
      </c>
    </row>
    <row r="15">
      <c r="B15" t="inlineStr">
        <is>
          <t>Defect Resolution Dev 8% of total Development effort</t>
        </is>
      </c>
      <c r="C15" s="4">
        <f>C35*0.08</f>
        <v/>
      </c>
      <c r="D15">
        <f>C15/C31</f>
        <v/>
      </c>
      <c r="E15" t="inlineStr">
        <is>
          <t>DEV</t>
        </is>
      </c>
    </row>
    <row r="16">
      <c r="B16" t="inlineStr">
        <is>
          <t>Defect Resolution QA 8% of total QA effort</t>
        </is>
      </c>
      <c r="C16" s="4">
        <f>C38*0.08</f>
        <v/>
      </c>
      <c r="D16">
        <f>C16/C31</f>
        <v/>
      </c>
      <c r="E16" t="inlineStr">
        <is>
          <t>QA</t>
        </is>
      </c>
    </row>
    <row r="17">
      <c r="B17" t="inlineStr">
        <is>
          <t>Regression Testing - 15% of total QA effort</t>
        </is>
      </c>
      <c r="C17" s="4">
        <f>C38*0.15</f>
        <v/>
      </c>
      <c r="D17">
        <f>C17/C31</f>
        <v/>
      </c>
      <c r="E17" t="inlineStr">
        <is>
          <t>QA</t>
        </is>
      </c>
    </row>
    <row r="18">
      <c r="B18" t="inlineStr">
        <is>
          <t>Test Automation - 10% of total QA effort</t>
        </is>
      </c>
      <c r="C18" s="4">
        <f>C38*0.10</f>
        <v/>
      </c>
      <c r="D18">
        <f>C18/C31</f>
        <v/>
      </c>
      <c r="E18" t="inlineStr">
        <is>
          <t>QA</t>
        </is>
      </c>
    </row>
    <row r="19">
      <c r="B19" t="inlineStr">
        <is>
          <t>Environment Setup - 3% of total Development effort</t>
        </is>
      </c>
      <c r="C19" s="4">
        <f>C35*0.03</f>
        <v/>
      </c>
      <c r="D19">
        <f>C19/C31</f>
        <v/>
      </c>
      <c r="E19" t="inlineStr">
        <is>
          <t>INFRA</t>
        </is>
      </c>
    </row>
    <row r="20">
      <c r="B20" t="inlineStr">
        <is>
          <t>Performance Testing - 5% of total QA effort</t>
        </is>
      </c>
      <c r="C20" s="4">
        <f>C38*0.05</f>
        <v/>
      </c>
      <c r="D20">
        <f>C20/C31</f>
        <v/>
      </c>
      <c r="E20" t="inlineStr">
        <is>
          <t>QA</t>
        </is>
      </c>
    </row>
    <row r="21">
      <c r="B21" t="inlineStr">
        <is>
          <t>Code Quality/Tech Debt - 10% of total Development effort</t>
        </is>
      </c>
      <c r="C21" s="4">
        <f>C35*0.10</f>
        <v/>
      </c>
      <c r="D21">
        <f>C21/C31</f>
        <v/>
      </c>
      <c r="E21" t="inlineStr">
        <is>
          <t>DEV</t>
        </is>
      </c>
    </row>
    <row r="22">
      <c r="B22" t="inlineStr">
        <is>
          <t>Integration Testing</t>
        </is>
      </c>
      <c r="C22" s="4" t="n">
        <v>12</v>
      </c>
      <c r="D22">
        <f>C22/C31</f>
        <v/>
      </c>
      <c r="E22" t="inlineStr">
        <is>
          <t>QA</t>
        </is>
      </c>
    </row>
    <row r="23">
      <c r="B23" t="inlineStr">
        <is>
          <t>End to End Testing</t>
        </is>
      </c>
      <c r="C23" s="4" t="n">
        <v>8</v>
      </c>
      <c r="D23">
        <f>C23/C31</f>
        <v/>
      </c>
      <c r="E23" t="inlineStr">
        <is>
          <t>QA</t>
        </is>
      </c>
    </row>
    <row r="24">
      <c r="B24" t="inlineStr">
        <is>
          <t>Dev Support during Testing - 8% of total Development effort</t>
        </is>
      </c>
      <c r="C24" s="4" t="n">
        <v>0</v>
      </c>
      <c r="D24">
        <f>C24/C31</f>
        <v/>
      </c>
      <c r="E24" t="inlineStr">
        <is>
          <t>DEV</t>
        </is>
      </c>
    </row>
    <row r="25">
      <c r="B25" t="inlineStr">
        <is>
          <t>Post Go-Live Support - 10% of total effort</t>
        </is>
      </c>
      <c r="C25" s="4" t="n">
        <v>0</v>
      </c>
      <c r="D25">
        <f>C25/C31</f>
        <v/>
      </c>
      <c r="E25" t="inlineStr">
        <is>
          <t>SUP</t>
        </is>
      </c>
    </row>
    <row r="26">
      <c r="B26" t="inlineStr">
        <is>
          <t>Release Coordination - 3% of total Development effort</t>
        </is>
      </c>
      <c r="C26" s="4">
        <f>C35*0.03</f>
        <v/>
      </c>
      <c r="E26" t="inlineStr">
        <is>
          <t>REL</t>
        </is>
      </c>
    </row>
    <row r="27">
      <c r="B27" t="inlineStr">
        <is>
          <t>Deployment Activities - 4% of total Development effort</t>
        </is>
      </c>
      <c r="C27" s="4">
        <f>C35*0.04</f>
        <v/>
      </c>
      <c r="E27" t="inlineStr">
        <is>
          <t>REL</t>
        </is>
      </c>
    </row>
    <row r="28">
      <c r="B28" t="inlineStr">
        <is>
          <t>Infrastructure Setup - 5% of total Development effort</t>
        </is>
      </c>
      <c r="C28" s="4">
        <f>C35*0.05</f>
        <v/>
      </c>
      <c r="E28" t="inlineStr">
        <is>
          <t>INFRA</t>
        </is>
      </c>
    </row>
    <row r="29">
      <c r="B29" t="inlineStr">
        <is>
          <t>Documentation - 2% of total Development effort</t>
        </is>
      </c>
      <c r="C29" s="4">
        <f>C35*0.02</f>
        <v/>
      </c>
      <c r="E29" t="inlineStr">
        <is>
          <t>DOC</t>
        </is>
      </c>
    </row>
    <row r="31">
      <c r="B31" s="2" t="inlineStr">
        <is>
          <t>TOTAL Estimate (In Points):</t>
        </is>
      </c>
      <c r="C31" s="2" t="n">
        <v>285.6</v>
      </c>
      <c r="D31" s="5" t="inlineStr">
        <is>
          <t>100.00%</t>
        </is>
      </c>
    </row>
    <row r="32">
      <c r="B32" s="2" t="inlineStr">
        <is>
          <t>Total Estimate ($):</t>
        </is>
      </c>
      <c r="C32" s="6">
        <f>C31*600</f>
        <v/>
      </c>
    </row>
    <row r="35">
      <c r="B35" s="2" t="inlineStr">
        <is>
          <t>Total Dev Effort (In Points):</t>
        </is>
      </c>
      <c r="C35" s="2" t="n">
        <v>140</v>
      </c>
    </row>
    <row r="36">
      <c r="B36" s="2" t="inlineStr">
        <is>
          <t>Total Dev Effort ($):</t>
        </is>
      </c>
      <c r="C36" s="6">
        <f>C35*600</f>
        <v/>
      </c>
    </row>
    <row r="38">
      <c r="B38" s="2" t="inlineStr">
        <is>
          <t>Total QA Effort (In Points):</t>
        </is>
      </c>
      <c r="C38" s="2" t="n">
        <v>78</v>
      </c>
    </row>
    <row r="39">
      <c r="B39" s="2" t="inlineStr">
        <is>
          <t>Total QA Effort ($):</t>
        </is>
      </c>
      <c r="C39" s="6">
        <f>C38*600</f>
        <v/>
      </c>
    </row>
  </sheetData>
  <mergeCells count="1"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5" customWidth="1" min="1" max="1"/>
    <col width="60" customWidth="1" min="2" max="2"/>
    <col width="25" customWidth="1" min="3" max="3"/>
    <col width="40" customWidth="1" min="4" max="4"/>
    <col width="20" customWidth="1" min="5" max="5"/>
  </cols>
  <sheetData>
    <row r="1">
      <c r="A1" s="7" t="inlineStr">
        <is>
          <t>Ticket ID</t>
        </is>
      </c>
      <c r="B1" s="7" t="inlineStr">
        <is>
          <t>Task Description</t>
        </is>
      </c>
      <c r="C1" s="7" t="inlineStr">
        <is>
          <t>Story Points</t>
        </is>
      </c>
      <c r="D1" s="7" t="inlineStr">
        <is>
          <t>Notes</t>
        </is>
      </c>
      <c r="E1" s="7" t="inlineStr">
        <is>
          <t>Module Affected</t>
        </is>
      </c>
    </row>
    <row r="2">
      <c r="A2" t="inlineStr"/>
      <c r="B2" s="8" t="inlineStr">
        <is>
          <t>Order routing decision engine SVC5010
Intelligent routing algorithm
Scoring and optimization</t>
        </is>
      </c>
      <c r="C2" s="8" t="inlineStr">
        <is>
          <t>DEV: 40 Points
QA: 22 Points</t>
        </is>
      </c>
      <c r="D2" t="inlineStr">
        <is>
          <t>Core algorithm</t>
        </is>
      </c>
      <c r="E2" t="inlineStr">
        <is>
          <t>OMS</t>
        </is>
      </c>
    </row>
    <row r="3">
      <c r="A3" t="inlineStr"/>
      <c r="B3" s="8" t="inlineStr">
        <is>
          <t>Inventory allocation service SVC5011
Multi-location allocation
Split shipment logic</t>
        </is>
      </c>
      <c r="C3" s="8" t="inlineStr">
        <is>
          <t>DEV: 35 Points
QA: 20 Points</t>
        </is>
      </c>
      <c r="D3" t="inlineStr">
        <is>
          <t>Multi-location</t>
        </is>
      </c>
      <c r="E3" t="inlineStr">
        <is>
          <t>OMS</t>
        </is>
      </c>
    </row>
    <row r="4">
      <c r="A4" t="inlineStr"/>
      <c r="B4" s="8" t="inlineStr">
        <is>
          <t>Carrier rate comparison SVC5012
Carrier API integrations
Rate optimization</t>
        </is>
      </c>
      <c r="C4" s="8" t="inlineStr">
        <is>
          <t>DEV: 30 Points
QA: 18 Points</t>
        </is>
      </c>
      <c r="D4" t="inlineStr">
        <is>
          <t>API integrations</t>
        </is>
      </c>
      <c r="E4" t="inlineStr">
        <is>
          <t>OMS</t>
        </is>
      </c>
    </row>
    <row r="5">
      <c r="A5" t="inlineStr"/>
      <c r="B5" s="8" t="inlineStr">
        <is>
          <t>Split shipment coordinator SVC5013
Edge case handling
Customer notifications</t>
        </is>
      </c>
      <c r="C5" s="8" t="inlineStr">
        <is>
          <t>DEV: 20 Points
QA: 12 Points</t>
        </is>
      </c>
      <c r="D5" t="inlineStr">
        <is>
          <t>Edge cases</t>
        </is>
      </c>
      <c r="E5" t="inlineStr">
        <is>
          <t>OMS</t>
        </is>
      </c>
    </row>
    <row r="6">
      <c r="A6" t="inlineStr"/>
      <c r="B6" s="8" t="inlineStr">
        <is>
          <t>Batch jobs and reporting
Daily analysis
Performance metrics</t>
        </is>
      </c>
      <c r="C6" s="8" t="inlineStr">
        <is>
          <t>DEV: 15 Points
QA: 6 Points</t>
        </is>
      </c>
      <c r="D6" t="inlineStr">
        <is>
          <t>Analytics</t>
        </is>
      </c>
      <c r="E6" t="inlineStr">
        <is>
          <t>Batch</t>
        </is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QA Estimation Details</t>
        </is>
      </c>
    </row>
    <row r="3">
      <c r="A3" t="inlineStr">
        <is>
          <t>Total QA Points:</t>
        </is>
      </c>
      <c r="B3" s="10" t="n">
        <v>78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Development Estimation Details</t>
        </is>
      </c>
    </row>
    <row r="3">
      <c r="A3" t="inlineStr">
        <is>
          <t>Total Dev Points:</t>
        </is>
      </c>
      <c r="B3" s="10" t="n">
        <v>140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50" customWidth="1" min="4" max="4"/>
  </cols>
  <sheetData>
    <row r="1">
      <c r="A1" s="11" t="inlineStr">
        <is>
          <t>ASSUMPTIONS</t>
        </is>
      </c>
    </row>
    <row r="3">
      <c r="A3" s="12" t="inlineStr">
        <is>
          <t>• Real-time inventory visibility available (PRJ-10051)</t>
        </is>
      </c>
    </row>
    <row r="4">
      <c r="A4" s="12" t="inlineStr">
        <is>
          <t>• Carrier rate APIs integrated and available</t>
        </is>
      </c>
    </row>
    <row r="5">
      <c r="A5" s="12" t="inlineStr">
        <is>
          <t>• Order volume projections are accurate</t>
        </is>
      </c>
    </row>
    <row r="6">
      <c r="A6" s="12" t="inlineStr">
        <is>
          <t>• Customer delivery promises stored in order system</t>
        </is>
      </c>
    </row>
    <row r="9">
      <c r="A9" s="11" t="inlineStr">
        <is>
          <t>DEPENDENCIES</t>
        </is>
      </c>
    </row>
    <row r="11">
      <c r="A11" s="12" t="inlineStr">
        <is>
          <t>• Inventory sync project (PRJ-10051) must be live</t>
        </is>
      </c>
    </row>
    <row r="12">
      <c r="A12" s="12" t="inlineStr">
        <is>
          <t>• Carrier API credentials provisioned</t>
        </is>
      </c>
    </row>
    <row r="13">
      <c r="A13" s="12" t="inlineStr">
        <is>
          <t>• Order management system upgrade completed</t>
        </is>
      </c>
    </row>
    <row r="16">
      <c r="A16" s="11" t="inlineStr">
        <is>
          <t>RISKS</t>
        </is>
      </c>
    </row>
    <row r="17">
      <c r="A17" s="13" t="inlineStr">
        <is>
          <t>Risk</t>
        </is>
      </c>
      <c r="B17" s="13" t="inlineStr">
        <is>
          <t>Probability</t>
        </is>
      </c>
      <c r="C17" s="13" t="inlineStr">
        <is>
          <t>Impact</t>
        </is>
      </c>
      <c r="D17" s="13" t="inlineStr">
        <is>
          <t>Mitigation</t>
        </is>
      </c>
    </row>
    <row r="18">
      <c r="A18" s="8" t="inlineStr">
        <is>
          <t>Algorithm accuracy during peak seasons</t>
        </is>
      </c>
      <c r="B18" s="8" t="inlineStr">
        <is>
          <t>Medium</t>
        </is>
      </c>
      <c r="C18" s="8" t="inlineStr">
        <is>
          <t>High</t>
        </is>
      </c>
      <c r="D18" s="8" t="inlineStr">
        <is>
          <t>Extensive load testing and gradual rollout</t>
        </is>
      </c>
    </row>
    <row r="19">
      <c r="A19" s="8" t="inlineStr">
        <is>
          <t>Carrier API reliability</t>
        </is>
      </c>
      <c r="B19" s="8" t="inlineStr">
        <is>
          <t>Medium</t>
        </is>
      </c>
      <c r="C19" s="8" t="inlineStr">
        <is>
          <t>Medium</t>
        </is>
      </c>
      <c r="D19" s="8" t="inlineStr">
        <is>
          <t>Fallback to default routing rules</t>
        </is>
      </c>
    </row>
    <row r="20">
      <c r="A20" s="8" t="inlineStr">
        <is>
          <t>Split shipment customer satisfaction</t>
        </is>
      </c>
      <c r="B20" s="8" t="inlineStr">
        <is>
          <t>Low</t>
        </is>
      </c>
      <c r="C20" s="8" t="inlineStr">
        <is>
          <t>Medium</t>
        </is>
      </c>
      <c r="D20" s="8" t="inlineStr">
        <is>
          <t>Clear communication and tracking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</cols>
  <sheetData>
    <row r="1">
      <c r="A1" s="9" t="inlineStr">
        <is>
          <t>Story Point Sizing Guidelines</t>
        </is>
      </c>
    </row>
    <row r="3">
      <c r="A3" s="10" t="inlineStr">
        <is>
          <t>Points</t>
        </is>
      </c>
      <c r="B3" s="10" t="inlineStr">
        <is>
          <t>Description</t>
        </is>
      </c>
    </row>
    <row r="4">
      <c r="A4" t="inlineStr">
        <is>
          <t>1-2 Points</t>
        </is>
      </c>
      <c r="B4" t="inlineStr">
        <is>
          <t>Small, well-understood changes</t>
        </is>
      </c>
    </row>
    <row r="5">
      <c r="A5" t="inlineStr">
        <is>
          <t>3-5 Points</t>
        </is>
      </c>
      <c r="B5" t="inlineStr">
        <is>
          <t>Medium complexity, some unknowns</t>
        </is>
      </c>
    </row>
    <row r="6">
      <c r="A6" t="inlineStr">
        <is>
          <t>6-8 Points</t>
        </is>
      </c>
      <c r="B6" t="inlineStr">
        <is>
          <t>Complex changes, multiple components</t>
        </is>
      </c>
    </row>
    <row r="7">
      <c r="A7" t="inlineStr">
        <is>
          <t>9-13 Points</t>
        </is>
      </c>
      <c r="B7" t="inlineStr">
        <is>
          <t>Very complex, requires research</t>
        </is>
      </c>
    </row>
    <row r="8">
      <c r="A8" t="inlineStr">
        <is>
          <t>13+ Points</t>
        </is>
      </c>
      <c r="B8" t="inlineStr">
        <is>
          <t>Should be broken down into smaller stories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9" t="inlineStr">
        <is>
          <t>Budget Summary</t>
        </is>
      </c>
    </row>
    <row r="3">
      <c r="A3" t="inlineStr">
        <is>
          <t>Total Project Budget:</t>
        </is>
      </c>
      <c r="B3" s="14">
        <f>$171,360.0</f>
        <v/>
      </c>
    </row>
    <row r="5">
      <c r="A5" t="inlineStr">
        <is>
          <t>Development:</t>
        </is>
      </c>
      <c r="B5">
        <f>$84,000</f>
        <v/>
      </c>
    </row>
    <row r="6">
      <c r="A6" t="inlineStr">
        <is>
          <t>QA:</t>
        </is>
      </c>
      <c r="B6">
        <f>$46,800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Reference Data</t>
        </is>
      </c>
    </row>
    <row r="3">
      <c r="A3" t="inlineStr">
        <is>
          <t>Hourly Rate: $100</t>
        </is>
      </c>
    </row>
    <row r="4">
      <c r="A4" t="inlineStr">
        <is>
          <t>Points to Hours: 1 Point = 6 Hours</t>
        </is>
      </c>
    </row>
    <row r="5">
      <c r="A5" t="inlineStr">
        <is>
          <t>Story Point Value: $600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60" customWidth="1" min="3" max="3"/>
    <col width="12" customWidth="1" min="4" max="4"/>
    <col width="12" customWidth="1" min="5" max="5"/>
    <col width="15" customWidth="1" min="6" max="6"/>
    <col width="20" customWidth="1" min="7" max="7"/>
    <col width="15" customWidth="1" min="8" max="8"/>
    <col width="20" customWidth="1" min="9" max="9"/>
    <col width="30" customWidth="1" min="10" max="10"/>
  </cols>
  <sheetData>
    <row r="1">
      <c r="A1" s="11" t="inlineStr">
        <is>
          <t>PRJ-10052 - Jira Stories</t>
        </is>
      </c>
    </row>
    <row r="3">
      <c r="A3" s="15" t="inlineStr">
        <is>
          <t>Story Key</t>
        </is>
      </c>
      <c r="B3" s="15" t="inlineStr">
        <is>
          <t>Summary</t>
        </is>
      </c>
      <c r="C3" s="15" t="inlineStr">
        <is>
          <t>Description</t>
        </is>
      </c>
      <c r="D3" s="15" t="inlineStr">
        <is>
          <t>Story Points</t>
        </is>
      </c>
      <c r="E3" s="15" t="inlineStr">
        <is>
          <t>Priority</t>
        </is>
      </c>
      <c r="F3" s="15" t="inlineStr">
        <is>
          <t>Status</t>
        </is>
      </c>
      <c r="G3" s="15" t="inlineStr">
        <is>
          <t>Assignee</t>
        </is>
      </c>
      <c r="H3" s="15" t="inlineStr">
        <is>
          <t>Sprint</t>
        </is>
      </c>
      <c r="I3" s="15" t="inlineStr">
        <is>
          <t>Component</t>
        </is>
      </c>
      <c r="J3" s="15" t="inlineStr">
        <is>
          <t>Labels</t>
        </is>
      </c>
    </row>
    <row r="4">
      <c r="A4" s="8" t="inlineStr">
        <is>
          <t>OMS-2001</t>
        </is>
      </c>
      <c r="B4" s="8" t="inlineStr">
        <is>
          <t>Implement order routing decision engine (SVC5010)</t>
        </is>
      </c>
      <c r="C4" s="8" t="inlineStr">
        <is>
          <t>As a system, I need to intelligently route orders to optimal fulfillment locations.
Acceptance Criteria:
- Routing algorithm with weighted scoring (Delivery 40%, Cost 30%, Balance 30%)
- Support for single-location and multi-location fulfillment
- Decision audit logging
- Performance optimization for high order volumes
- Manual override capability for special cases</t>
        </is>
      </c>
      <c r="D4" s="8" t="n">
        <v>13</v>
      </c>
      <c r="E4" s="8" t="inlineStr">
        <is>
          <t>High</t>
        </is>
      </c>
      <c r="F4" s="8" t="inlineStr">
        <is>
          <t>To Do</t>
        </is>
      </c>
      <c r="G4" s="8" t="inlineStr">
        <is>
          <t>L.Martinez</t>
        </is>
      </c>
      <c r="H4" s="8" t="inlineStr">
        <is>
          <t>Sprint 1</t>
        </is>
      </c>
      <c r="I4" s="8" t="inlineStr">
        <is>
          <t>Order Management</t>
        </is>
      </c>
      <c r="J4" s="8" t="inlineStr">
        <is>
          <t>backend, routing, algorithm, optimization</t>
        </is>
      </c>
    </row>
    <row r="5">
      <c r="A5" s="8" t="inlineStr">
        <is>
          <t>OMS-2002</t>
        </is>
      </c>
      <c r="B5" s="8" t="inlineStr">
        <is>
          <t>Build inventory allocation service (SVC5011)</t>
        </is>
      </c>
      <c r="C5" s="8" t="inlineStr">
        <is>
          <t>As a system, I need to allocate inventory across multiple fulfillment centers for split shipments.
Acceptance Criteria:
- Multi-location inventory check via real-time API
- Split shipment logic (max 3 shipments per order)
- Inventory reservation and release mechanisms
- Allocation fairness across fulfillment centers
- Handle concurrent allocation requests</t>
        </is>
      </c>
      <c r="D5" s="8" t="n">
        <v>8</v>
      </c>
      <c r="E5" s="8" t="inlineStr">
        <is>
          <t>High</t>
        </is>
      </c>
      <c r="F5" s="8" t="inlineStr">
        <is>
          <t>To Do</t>
        </is>
      </c>
      <c r="G5" s="8" t="inlineStr">
        <is>
          <t>N.Chen</t>
        </is>
      </c>
      <c r="H5" s="8" t="inlineStr">
        <is>
          <t>Sprint 1</t>
        </is>
      </c>
      <c r="I5" s="8" t="inlineStr">
        <is>
          <t>Order Management</t>
        </is>
      </c>
      <c r="J5" s="8" t="inlineStr">
        <is>
          <t>backend, inventory, allocation</t>
        </is>
      </c>
    </row>
    <row r="6">
      <c r="A6" s="8" t="inlineStr">
        <is>
          <t>OMS-2003</t>
        </is>
      </c>
      <c r="B6" s="8" t="inlineStr">
        <is>
          <t>Develop carrier rate comparison service (SVC5012)</t>
        </is>
      </c>
      <c r="C6" s="8" t="inlineStr">
        <is>
          <t>As a system, I need to compare shipping rates from multiple carriers for cost optimization.
Acceptance Criteria:
- Integration with carrier APIs (FedEx, UPS, USPS)
- Real-time rate requests with caching
- Delivery time estimation
- Rate comparison and selection logic
- Fallback to default carrier if APIs unavailable</t>
        </is>
      </c>
      <c r="D6" s="8" t="n">
        <v>8</v>
      </c>
      <c r="E6" s="8" t="inlineStr">
        <is>
          <t>Medium</t>
        </is>
      </c>
      <c r="F6" s="8" t="inlineStr">
        <is>
          <t>To Do</t>
        </is>
      </c>
      <c r="G6" s="8" t="inlineStr">
        <is>
          <t>P.Anderson</t>
        </is>
      </c>
      <c r="H6" s="8" t="inlineStr">
        <is>
          <t>Sprint 2</t>
        </is>
      </c>
      <c r="I6" s="8" t="inlineStr">
        <is>
          <t>Integration</t>
        </is>
      </c>
      <c r="J6" s="8" t="inlineStr">
        <is>
          <t>backend, carrier, api-integration, shipping</t>
        </is>
      </c>
    </row>
    <row r="7">
      <c r="A7" s="8" t="inlineStr">
        <is>
          <t>OMS-2004</t>
        </is>
      </c>
      <c r="B7" s="8" t="inlineStr">
        <is>
          <t>Create split shipment coordinator (SVC5013)</t>
        </is>
      </c>
      <c r="C7" s="8" t="inlineStr">
        <is>
          <t>As a system, I need to coordinate split shipments and notify customers.
Acceptance Criteria:
- Split shipment creation and tracking
- Customer notification for split shipments
- Shipment grouping by fulfillment center
- Handle partial cancellations
- Edge case handling (out of stock during allocation)</t>
        </is>
      </c>
      <c r="D7" s="8" t="n">
        <v>5</v>
      </c>
      <c r="E7" s="8" t="inlineStr">
        <is>
          <t>Medium</t>
        </is>
      </c>
      <c r="F7" s="8" t="inlineStr">
        <is>
          <t>To Do</t>
        </is>
      </c>
      <c r="G7" s="8" t="inlineStr">
        <is>
          <t>Q.Taylor</t>
        </is>
      </c>
      <c r="H7" s="8" t="inlineStr">
        <is>
          <t>Sprint 2</t>
        </is>
      </c>
      <c r="I7" s="8" t="inlineStr">
        <is>
          <t>Order Management</t>
        </is>
      </c>
      <c r="J7" s="8" t="inlineStr">
        <is>
          <t>backend, split-shipment, notifications</t>
        </is>
      </c>
    </row>
    <row r="8">
      <c r="A8" s="8" t="inlineStr">
        <is>
          <t>OMS-2005</t>
        </is>
      </c>
      <c r="B8" s="8" t="inlineStr">
        <is>
          <t>Build routing performance analysis batch job (BTH5010)</t>
        </is>
      </c>
      <c r="C8" s="8" t="inlineStr">
        <is>
          <t>As an operations team, I need daily analysis of routing performance metrics.
Acceptance Criteria:
- Daily analysis job runs at 01:00 AM
- Metrics: avg delivery time, cost savings, split shipment rate
- Identify routing optimization opportunities
- Generate performance report
- Store historical metrics</t>
        </is>
      </c>
      <c r="D8" s="8" t="n">
        <v>5</v>
      </c>
      <c r="E8" s="8" t="inlineStr">
        <is>
          <t>Low</t>
        </is>
      </c>
      <c r="F8" s="8" t="inlineStr">
        <is>
          <t>To Do</t>
        </is>
      </c>
      <c r="G8" s="8" t="inlineStr">
        <is>
          <t>R.White</t>
        </is>
      </c>
      <c r="H8" s="8" t="inlineStr">
        <is>
          <t>Sprint 3</t>
        </is>
      </c>
      <c r="I8" s="8" t="inlineStr">
        <is>
          <t>Batch Processing</t>
        </is>
      </c>
      <c r="J8" s="8" t="inlineStr">
        <is>
          <t>backend, batch, analytics, reporting</t>
        </is>
      </c>
    </row>
    <row r="9">
      <c r="A9" s="8" t="inlineStr">
        <is>
          <t>OMS-2006</t>
        </is>
      </c>
      <c r="B9" s="8" t="inlineStr">
        <is>
          <t>Configure routing rules and carrier preferences (CFG5010, CFG5011)</t>
        </is>
      </c>
      <c r="C9" s="8" t="inlineStr">
        <is>
          <t>As a business user, I need to configure routing rules and carrier preferences.
Acceptance Criteria:
- Admin UI for routing rule configuration
- Carrier preference settings by region
- Weight adjustment for routing algorithm
- Rule versioning and audit trail
- Export/import configuration capability</t>
        </is>
      </c>
      <c r="D9" s="8" t="n">
        <v>3</v>
      </c>
      <c r="E9" s="8" t="inlineStr">
        <is>
          <t>Medium</t>
        </is>
      </c>
      <c r="F9" s="8" t="inlineStr">
        <is>
          <t>To Do</t>
        </is>
      </c>
      <c r="G9" s="8" t="inlineStr">
        <is>
          <t>S.Green</t>
        </is>
      </c>
      <c r="H9" s="8" t="inlineStr">
        <is>
          <t>Sprint 2</t>
        </is>
      </c>
      <c r="I9" s="8" t="inlineStr">
        <is>
          <t>Configuration</t>
        </is>
      </c>
      <c r="J9" s="8" t="inlineStr">
        <is>
          <t>backend, config, admin-ui</t>
        </is>
      </c>
    </row>
    <row r="10">
      <c r="A10" s="8" t="inlineStr">
        <is>
          <t>OMS-2007</t>
        </is>
      </c>
      <c r="B10" s="8" t="inlineStr">
        <is>
          <t>Design routing decision database schema (TBL_ROUTE_DECISION, TBL_ALLOCATION)</t>
        </is>
      </c>
      <c r="C10" s="8" t="inlineStr">
        <is>
          <t>As a system, I need database tables to store routing decisions and allocations.
Acceptance Criteria:
- Create TBL_ROUTE_DECISION for audit logging
- Create TBL_ALLOCATION for inventory allocation records
- Indexes on order_id, fulfillment_center, timestamp
- Data retention policy (90 days)
- Migration scripts</t>
        </is>
      </c>
      <c r="D10" s="8" t="n">
        <v>3</v>
      </c>
      <c r="E10" s="8" t="inlineStr">
        <is>
          <t>High</t>
        </is>
      </c>
      <c r="F10" s="8" t="inlineStr">
        <is>
          <t>To Do</t>
        </is>
      </c>
      <c r="G10" s="8" t="inlineStr">
        <is>
          <t>T.Davis</t>
        </is>
      </c>
      <c r="H10" s="8" t="inlineStr">
        <is>
          <t>Sprint 1</t>
        </is>
      </c>
      <c r="I10" s="8" t="inlineStr">
        <is>
          <t>Database</t>
        </is>
      </c>
      <c r="J10" s="8" t="inlineStr">
        <is>
          <t>backend, database, schema</t>
        </is>
      </c>
    </row>
  </sheetData>
  <autoFilter ref="A3:J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2026-01-24T04:24:57Z</dcterms:created>
  <dcterms:modified xmlns:dcterms="http://purl.org/dc/terms/" xmlns:xsi="http://www.w3.org/2001/XMLSchema-instance" xsi:type="dcterms:W3CDTF">2026-01-24T04:24:57Z</dcterms:modified>
</cp:coreProperties>
</file>