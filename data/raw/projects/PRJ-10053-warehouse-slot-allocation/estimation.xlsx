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 Summary" sheetId="1" state="visible" r:id="rId1"/>
    <sheet xmlns:r="http://schemas.openxmlformats.org/officeDocument/2006/relationships" name="Task Breakdown" sheetId="2" state="visible" r:id="rId2"/>
    <sheet xmlns:r="http://schemas.openxmlformats.org/officeDocument/2006/relationships" name="QA Estimates" sheetId="3" state="visible" r:id="rId3"/>
    <sheet xmlns:r="http://schemas.openxmlformats.org/officeDocument/2006/relationships" name="Dev Estimates" sheetId="4" state="visible" r:id="rId4"/>
    <sheet xmlns:r="http://schemas.openxmlformats.org/officeDocument/2006/relationships" name="Assumptions and Risks" sheetId="5" state="visible" r:id="rId5"/>
    <sheet xmlns:r="http://schemas.openxmlformats.org/officeDocument/2006/relationships" name="Sizing Guidelines" sheetId="6" state="visible" r:id="rId6"/>
    <sheet xmlns:r="http://schemas.openxmlformats.org/officeDocument/2006/relationships" name="Budget Summary" sheetId="7" state="visible" r:id="rId7"/>
    <sheet xmlns:r="http://schemas.openxmlformats.org/officeDocument/2006/relationships" name="Reference Data" sheetId="8" state="visible" r:id="rId8"/>
    <sheet xmlns:r="http://schemas.openxmlformats.org/officeDocument/2006/relationships" name="Jira Stories" sheetId="9" state="visible" r:id="rId9"/>
  </sheets>
  <definedNames>
    <definedName name="_xlnm._FilterDatabase" localSheetId="1" hidden="1">'Task Breakdown'!$A$1:$E$6</definedName>
    <definedName name="_xlnm._FilterDatabase" localSheetId="8" hidden="1">'Jira Stories'!$A$3:$J$9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0">
    <font>
      <name val="Calibri"/>
      <family val="2"/>
      <color theme="1"/>
      <sz val="11"/>
      <scheme val="minor"/>
    </font>
    <font>
      <b val="1"/>
      <color rgb="001a365d"/>
      <sz val="16"/>
    </font>
    <font>
      <b val="1"/>
      <sz val="11"/>
    </font>
    <font>
      <b val="1"/>
      <color rgb="00FFFFFF"/>
      <sz val="12"/>
    </font>
    <font>
      <b val="1"/>
      <color rgb="00FFFFFF"/>
    </font>
    <font>
      <b val="1"/>
      <sz val="14"/>
    </font>
    <font>
      <b val="1"/>
    </font>
    <font>
      <b val="1"/>
      <color rgb="001a365d"/>
      <sz val="14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  <xf numFmtId="164" fontId="2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F39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0" customWidth="1" min="3" max="3"/>
    <col width="15" customWidth="1" min="4" max="4"/>
    <col width="15" customWidth="1" min="5" max="5"/>
  </cols>
  <sheetData>
    <row r="4">
      <c r="A4" s="1" t="inlineStr">
        <is>
          <t>PROJECT ESTIMATION</t>
        </is>
      </c>
    </row>
    <row r="6">
      <c r="E6" s="2" t="inlineStr">
        <is>
          <t>NOTE:</t>
        </is>
      </c>
      <c r="F6" t="inlineStr">
        <is>
          <t>1 Point = 6 hours</t>
        </is>
      </c>
    </row>
    <row r="7">
      <c r="F7" t="inlineStr">
        <is>
          <t>1 Story Point = $600</t>
        </is>
      </c>
    </row>
    <row r="10">
      <c r="A10" s="3" t="inlineStr"/>
      <c r="B10" s="3" t="inlineStr">
        <is>
          <t>Scope Item</t>
        </is>
      </c>
      <c r="C10" s="3" t="inlineStr">
        <is>
          <t>Effort in Points</t>
        </is>
      </c>
      <c r="D10" s="3" t="inlineStr">
        <is>
          <t>(%)</t>
        </is>
      </c>
      <c r="E10" s="3" t="inlineStr">
        <is>
          <t>Category</t>
        </is>
      </c>
    </row>
    <row r="11">
      <c r="B11" t="inlineStr">
        <is>
          <t>Development Effort = Analysis + Build (Code &amp; Unit Test) + Code Reviews</t>
        </is>
      </c>
    </row>
    <row r="12">
      <c r="B12" t="inlineStr">
        <is>
          <t>QA Effort = Analysis, Planning, Test case design, Test data creation, Execution</t>
        </is>
      </c>
    </row>
    <row r="13">
      <c r="B13" t="inlineStr">
        <is>
          <t>Project Management - 30% of total Development effort</t>
        </is>
      </c>
      <c r="C13" s="4">
        <f>C35*0.3</f>
        <v/>
      </c>
      <c r="D13">
        <f>C13/C31</f>
        <v/>
      </c>
      <c r="E13" t="inlineStr">
        <is>
          <t>PM</t>
        </is>
      </c>
    </row>
    <row r="14">
      <c r="B14" t="inlineStr">
        <is>
          <t>Technical Architecture - 12% of total Development effort</t>
        </is>
      </c>
      <c r="C14" s="4">
        <f>C35*0.12</f>
        <v/>
      </c>
      <c r="D14">
        <f>C14/C31</f>
        <v/>
      </c>
      <c r="E14" t="inlineStr">
        <is>
          <t>ARCH</t>
        </is>
      </c>
    </row>
    <row r="15">
      <c r="B15" t="inlineStr">
        <is>
          <t>Defect Resolution Dev 8% of total Development effort</t>
        </is>
      </c>
      <c r="C15" s="4">
        <f>C35*0.08</f>
        <v/>
      </c>
      <c r="D15">
        <f>C15/C31</f>
        <v/>
      </c>
      <c r="E15" t="inlineStr">
        <is>
          <t>DEV</t>
        </is>
      </c>
    </row>
    <row r="16">
      <c r="B16" t="inlineStr">
        <is>
          <t>Defect Resolution QA 8% of total QA effort</t>
        </is>
      </c>
      <c r="C16" s="4">
        <f>C38*0.08</f>
        <v/>
      </c>
      <c r="D16">
        <f>C16/C31</f>
        <v/>
      </c>
      <c r="E16" t="inlineStr">
        <is>
          <t>QA</t>
        </is>
      </c>
    </row>
    <row r="17">
      <c r="B17" t="inlineStr">
        <is>
          <t>Regression Testing - 15% of total QA effort</t>
        </is>
      </c>
      <c r="C17" s="4">
        <f>C38*0.15</f>
        <v/>
      </c>
      <c r="D17">
        <f>C17/C31</f>
        <v/>
      </c>
      <c r="E17" t="inlineStr">
        <is>
          <t>QA</t>
        </is>
      </c>
    </row>
    <row r="18">
      <c r="B18" t="inlineStr">
        <is>
          <t>Test Automation - 10% of total QA effort</t>
        </is>
      </c>
      <c r="C18" s="4">
        <f>C38*0.10</f>
        <v/>
      </c>
      <c r="D18">
        <f>C18/C31</f>
        <v/>
      </c>
      <c r="E18" t="inlineStr">
        <is>
          <t>QA</t>
        </is>
      </c>
    </row>
    <row r="19">
      <c r="B19" t="inlineStr">
        <is>
          <t>Environment Setup - 3% of total Development effort</t>
        </is>
      </c>
      <c r="C19" s="4">
        <f>C35*0.03</f>
        <v/>
      </c>
      <c r="D19">
        <f>C19/C31</f>
        <v/>
      </c>
      <c r="E19" t="inlineStr">
        <is>
          <t>INFRA</t>
        </is>
      </c>
    </row>
    <row r="20">
      <c r="B20" t="inlineStr">
        <is>
          <t>Performance Testing - 5% of total QA effort</t>
        </is>
      </c>
      <c r="C20" s="4">
        <f>C38*0.05</f>
        <v/>
      </c>
      <c r="D20">
        <f>C20/C31</f>
        <v/>
      </c>
      <c r="E20" t="inlineStr">
        <is>
          <t>QA</t>
        </is>
      </c>
    </row>
    <row r="21">
      <c r="B21" t="inlineStr">
        <is>
          <t>Code Quality/Tech Debt - 10% of total Development effort</t>
        </is>
      </c>
      <c r="C21" s="4">
        <f>C35*0.10</f>
        <v/>
      </c>
      <c r="D21">
        <f>C21/C31</f>
        <v/>
      </c>
      <c r="E21" t="inlineStr">
        <is>
          <t>DEV</t>
        </is>
      </c>
    </row>
    <row r="22">
      <c r="B22" t="inlineStr">
        <is>
          <t>Integration Testing</t>
        </is>
      </c>
      <c r="C22" s="4" t="n">
        <v>12</v>
      </c>
      <c r="D22">
        <f>C22/C31</f>
        <v/>
      </c>
      <c r="E22" t="inlineStr">
        <is>
          <t>QA</t>
        </is>
      </c>
    </row>
    <row r="23">
      <c r="B23" t="inlineStr">
        <is>
          <t>End to End Testing</t>
        </is>
      </c>
      <c r="C23" s="4" t="n">
        <v>8</v>
      </c>
      <c r="D23">
        <f>C23/C31</f>
        <v/>
      </c>
      <c r="E23" t="inlineStr">
        <is>
          <t>QA</t>
        </is>
      </c>
    </row>
    <row r="24">
      <c r="B24" t="inlineStr">
        <is>
          <t>Dev Support during Testing - 8% of total Development effort</t>
        </is>
      </c>
      <c r="C24" s="4" t="n">
        <v>0</v>
      </c>
      <c r="D24">
        <f>C24/C31</f>
        <v/>
      </c>
      <c r="E24" t="inlineStr">
        <is>
          <t>DEV</t>
        </is>
      </c>
    </row>
    <row r="25">
      <c r="B25" t="inlineStr">
        <is>
          <t>Post Go-Live Support - 10% of total effort</t>
        </is>
      </c>
      <c r="C25" s="4" t="n">
        <v>0</v>
      </c>
      <c r="D25">
        <f>C25/C31</f>
        <v/>
      </c>
      <c r="E25" t="inlineStr">
        <is>
          <t>SUP</t>
        </is>
      </c>
    </row>
    <row r="26">
      <c r="B26" t="inlineStr">
        <is>
          <t>Release Coordination - 3% of total Development effort</t>
        </is>
      </c>
      <c r="C26" s="4">
        <f>C35*0.03</f>
        <v/>
      </c>
      <c r="E26" t="inlineStr">
        <is>
          <t>REL</t>
        </is>
      </c>
    </row>
    <row r="27">
      <c r="B27" t="inlineStr">
        <is>
          <t>Deployment Activities - 4% of total Development effort</t>
        </is>
      </c>
      <c r="C27" s="4">
        <f>C35*0.04</f>
        <v/>
      </c>
      <c r="E27" t="inlineStr">
        <is>
          <t>REL</t>
        </is>
      </c>
    </row>
    <row r="28">
      <c r="B28" t="inlineStr">
        <is>
          <t>Infrastructure Setup - 5% of total Development effort</t>
        </is>
      </c>
      <c r="C28" s="4">
        <f>C35*0.05</f>
        <v/>
      </c>
      <c r="E28" t="inlineStr">
        <is>
          <t>INFRA</t>
        </is>
      </c>
    </row>
    <row r="29">
      <c r="B29" t="inlineStr">
        <is>
          <t>Documentation - 2% of total Development effort</t>
        </is>
      </c>
      <c r="C29" s="4">
        <f>C35*0.02</f>
        <v/>
      </c>
      <c r="E29" t="inlineStr">
        <is>
          <t>DOC</t>
        </is>
      </c>
    </row>
    <row r="31">
      <c r="B31" s="2" t="inlineStr">
        <is>
          <t>TOTAL Estimate (In Points):</t>
        </is>
      </c>
      <c r="C31" s="2" t="n">
        <v>248.5</v>
      </c>
      <c r="D31" s="5" t="inlineStr">
        <is>
          <t>100.00%</t>
        </is>
      </c>
    </row>
    <row r="32">
      <c r="B32" s="2" t="inlineStr">
        <is>
          <t>Total Estimate ($):</t>
        </is>
      </c>
      <c r="C32" s="6">
        <f>C31*600</f>
        <v/>
      </c>
    </row>
    <row r="35">
      <c r="B35" s="2" t="inlineStr">
        <is>
          <t>Total Dev Effort (In Points):</t>
        </is>
      </c>
      <c r="C35" s="2" t="n">
        <v>120</v>
      </c>
    </row>
    <row r="36">
      <c r="B36" s="2" t="inlineStr">
        <is>
          <t>Total Dev Effort ($):</t>
        </is>
      </c>
      <c r="C36" s="6">
        <f>C35*600</f>
        <v/>
      </c>
    </row>
    <row r="38">
      <c r="B38" s="2" t="inlineStr">
        <is>
          <t>Total QA Effort (In Points):</t>
        </is>
      </c>
      <c r="C38" s="2" t="n">
        <v>72</v>
      </c>
    </row>
    <row r="39">
      <c r="B39" s="2" t="inlineStr">
        <is>
          <t>Total QA Effort ($):</t>
        </is>
      </c>
      <c r="C39" s="6">
        <f>C38*600</f>
        <v/>
      </c>
    </row>
  </sheetData>
  <mergeCells count="1"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25" customWidth="1" min="3" max="3"/>
    <col width="40" customWidth="1" min="4" max="4"/>
    <col width="20" customWidth="1" min="5" max="5"/>
  </cols>
  <sheetData>
    <row r="1">
      <c r="A1" s="7" t="inlineStr">
        <is>
          <t>Ticket ID</t>
        </is>
      </c>
      <c r="B1" s="7" t="inlineStr">
        <is>
          <t>Task Description</t>
        </is>
      </c>
      <c r="C1" s="7" t="inlineStr">
        <is>
          <t>Story Points</t>
        </is>
      </c>
      <c r="D1" s="7" t="inlineStr">
        <is>
          <t>Notes</t>
        </is>
      </c>
      <c r="E1" s="7" t="inlineStr">
        <is>
          <t>Module Affected</t>
        </is>
      </c>
    </row>
    <row r="2">
      <c r="A2" t="inlineStr"/>
      <c r="B2" s="8" t="inlineStr">
        <is>
          <t>Slot optimization algorithm SVC6010
Velocity-based assignment
Space optimization</t>
        </is>
      </c>
      <c r="C2" s="8" t="inlineStr">
        <is>
          <t>DEV: 45 Points
QA: 28 Points</t>
        </is>
      </c>
      <c r="D2" t="inlineStr">
        <is>
          <t>Core engine</t>
        </is>
      </c>
      <c r="E2" t="inlineStr">
        <is>
          <t>Warehouse</t>
        </is>
      </c>
    </row>
    <row r="3">
      <c r="A3" t="inlineStr"/>
      <c r="B3" s="8" t="inlineStr">
        <is>
          <t>Velocity analysis engine SVC6011
ABC classification
Trend analysis</t>
        </is>
      </c>
      <c r="C3" s="8" t="inlineStr">
        <is>
          <t>DEV: 30 Points
QA: 18 Points</t>
        </is>
      </c>
      <c r="D3" t="inlineStr">
        <is>
          <t>Analytics</t>
        </is>
      </c>
      <c r="E3" t="inlineStr">
        <is>
          <t>Warehouse</t>
        </is>
      </c>
    </row>
    <row r="4">
      <c r="A4" t="inlineStr"/>
      <c r="B4" s="8" t="inlineStr">
        <is>
          <t>Pick path calculator SVC6012
Path optimization
Distance minimization</t>
        </is>
      </c>
      <c r="C4" s="8" t="inlineStr">
        <is>
          <t>DEV: 25 Points
QA: 15 Points</t>
        </is>
      </c>
      <c r="D4" t="inlineStr">
        <is>
          <t>Optimization</t>
        </is>
      </c>
      <c r="E4" t="inlineStr">
        <is>
          <t>Warehouse</t>
        </is>
      </c>
    </row>
    <row r="5">
      <c r="A5" t="inlineStr"/>
      <c r="B5" s="8" t="inlineStr">
        <is>
          <t>Batch jobs for re-slotting
Weekly recommendations
Utilization reports</t>
        </is>
      </c>
      <c r="C5" s="8" t="inlineStr">
        <is>
          <t>DEV: 12 Points
QA: 7 Points</t>
        </is>
      </c>
      <c r="D5" t="inlineStr">
        <is>
          <t>Scheduled</t>
        </is>
      </c>
      <c r="E5" t="inlineStr">
        <is>
          <t>Batch</t>
        </is>
      </c>
    </row>
    <row r="6">
      <c r="A6" t="inlineStr"/>
      <c r="B6" s="8" t="inlineStr">
        <is>
          <t>Database and configuration
Slot tables
Velocity metrics</t>
        </is>
      </c>
      <c r="C6" s="8" t="inlineStr">
        <is>
          <t>DEV: 8 Points
QA: 4 Points</t>
        </is>
      </c>
      <c r="D6" t="inlineStr">
        <is>
          <t>Setup</t>
        </is>
      </c>
      <c r="E6" t="inlineStr">
        <is>
          <t>Database</t>
        </is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QA Estimation Details</t>
        </is>
      </c>
    </row>
    <row r="3">
      <c r="A3" t="inlineStr">
        <is>
          <t>Total QA Points:</t>
        </is>
      </c>
      <c r="B3" s="10" t="n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Development Estimation Details</t>
        </is>
      </c>
    </row>
    <row r="3">
      <c r="A3" t="inlineStr">
        <is>
          <t>Total Dev Points:</t>
        </is>
      </c>
      <c r="B3" s="10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50" customWidth="1" min="4" max="4"/>
  </cols>
  <sheetData>
    <row r="1">
      <c r="A1" s="11" t="inlineStr">
        <is>
          <t>ASSUMPTIONS</t>
        </is>
      </c>
    </row>
    <row r="3">
      <c r="A3" s="12" t="inlineStr">
        <is>
          <t>• Warehouse layout data is accurate and current</t>
        </is>
      </c>
    </row>
    <row r="4">
      <c r="A4" s="12" t="inlineStr">
        <is>
          <t>• SKU velocity data available for past 12 months</t>
        </is>
      </c>
    </row>
    <row r="5">
      <c r="A5" s="12" t="inlineStr">
        <is>
          <t>• RF scanners support new slot assignments</t>
        </is>
      </c>
    </row>
    <row r="6">
      <c r="A6" s="12" t="inlineStr">
        <is>
          <t>• Warehouse staff trained on new procedures</t>
        </is>
      </c>
    </row>
    <row r="9">
      <c r="A9" s="11" t="inlineStr">
        <is>
          <t>DEPENDENCIES</t>
        </is>
      </c>
    </row>
    <row r="11">
      <c r="A11" s="12" t="inlineStr">
        <is>
          <t>• WMS upgrade to support dynamic slotting</t>
        </is>
      </c>
    </row>
    <row r="12">
      <c r="A12" s="12" t="inlineStr">
        <is>
          <t>• Historical sales data migration completed</t>
        </is>
      </c>
    </row>
    <row r="13">
      <c r="A13" s="12" t="inlineStr">
        <is>
          <t>• Warehouse mapping verification</t>
        </is>
      </c>
    </row>
    <row r="16">
      <c r="A16" s="11" t="inlineStr">
        <is>
          <t>RISKS</t>
        </is>
      </c>
    </row>
    <row r="17">
      <c r="A17" s="13" t="inlineStr">
        <is>
          <t>Risk</t>
        </is>
      </c>
      <c r="B17" s="13" t="inlineStr">
        <is>
          <t>Probability</t>
        </is>
      </c>
      <c r="C17" s="13" t="inlineStr">
        <is>
          <t>Impact</t>
        </is>
      </c>
      <c r="D17" s="13" t="inlineStr">
        <is>
          <t>Mitigation</t>
        </is>
      </c>
    </row>
    <row r="18">
      <c r="A18" s="8" t="inlineStr">
        <is>
          <t>Disruption during re-slotting activities</t>
        </is>
      </c>
      <c r="B18" s="8" t="inlineStr">
        <is>
          <t>Medium</t>
        </is>
      </c>
      <c r="C18" s="8" t="inlineStr">
        <is>
          <t>High</t>
        </is>
      </c>
      <c r="D18" s="8" t="inlineStr">
        <is>
          <t>Phased rollout during low-volume periods</t>
        </is>
      </c>
    </row>
    <row r="19">
      <c r="A19" s="8" t="inlineStr">
        <is>
          <t>Data accuracy of warehouse dimensions</t>
        </is>
      </c>
      <c r="B19" s="8" t="inlineStr">
        <is>
          <t>Low</t>
        </is>
      </c>
      <c r="C19" s="8" t="inlineStr">
        <is>
          <t>Medium</t>
        </is>
      </c>
      <c r="D19" s="8" t="inlineStr">
        <is>
          <t>Physical verification before go-live</t>
        </is>
      </c>
    </row>
    <row r="20">
      <c r="A20" s="8" t="inlineStr">
        <is>
          <t>Picker acceptance of new slot locations</t>
        </is>
      </c>
      <c r="B20" s="8" t="inlineStr">
        <is>
          <t>Medium</t>
        </is>
      </c>
      <c r="C20" s="8" t="inlineStr">
        <is>
          <t>Low</t>
        </is>
      </c>
      <c r="D20" s="8" t="inlineStr">
        <is>
          <t>Training and gradual transition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9" t="inlineStr">
        <is>
          <t>Story Point Sizing Guidelines</t>
        </is>
      </c>
    </row>
    <row r="3">
      <c r="A3" s="10" t="inlineStr">
        <is>
          <t>Points</t>
        </is>
      </c>
      <c r="B3" s="10" t="inlineStr">
        <is>
          <t>Description</t>
        </is>
      </c>
    </row>
    <row r="4">
      <c r="A4" t="inlineStr">
        <is>
          <t>1-2 Points</t>
        </is>
      </c>
      <c r="B4" t="inlineStr">
        <is>
          <t>Small, well-understood changes</t>
        </is>
      </c>
    </row>
    <row r="5">
      <c r="A5" t="inlineStr">
        <is>
          <t>3-5 Points</t>
        </is>
      </c>
      <c r="B5" t="inlineStr">
        <is>
          <t>Medium complexity, some unknowns</t>
        </is>
      </c>
    </row>
    <row r="6">
      <c r="A6" t="inlineStr">
        <is>
          <t>6-8 Points</t>
        </is>
      </c>
      <c r="B6" t="inlineStr">
        <is>
          <t>Complex changes, multiple components</t>
        </is>
      </c>
    </row>
    <row r="7">
      <c r="A7" t="inlineStr">
        <is>
          <t>9-13 Points</t>
        </is>
      </c>
      <c r="B7" t="inlineStr">
        <is>
          <t>Very complex, requires research</t>
        </is>
      </c>
    </row>
    <row r="8">
      <c r="A8" t="inlineStr">
        <is>
          <t>13+ Points</t>
        </is>
      </c>
      <c r="B8" t="inlineStr">
        <is>
          <t>Should be broken down into smaller stories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9" t="inlineStr">
        <is>
          <t>Budget Summary</t>
        </is>
      </c>
    </row>
    <row r="3">
      <c r="A3" t="inlineStr">
        <is>
          <t>Total Project Budget:</t>
        </is>
      </c>
      <c r="B3" s="14">
        <f>$149,100.0</f>
        <v/>
      </c>
    </row>
    <row r="5">
      <c r="A5" t="inlineStr">
        <is>
          <t>Development:</t>
        </is>
      </c>
      <c r="B5">
        <f>$72,000</f>
        <v/>
      </c>
    </row>
    <row r="6">
      <c r="A6" t="inlineStr">
        <is>
          <t>QA:</t>
        </is>
      </c>
      <c r="B6">
        <f>$43,200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Reference Data</t>
        </is>
      </c>
    </row>
    <row r="3">
      <c r="A3" t="inlineStr">
        <is>
          <t>Hourly Rate: $100</t>
        </is>
      </c>
    </row>
    <row r="4">
      <c r="A4" t="inlineStr">
        <is>
          <t>Points to Hours: 1 Point = 6 Hours</t>
        </is>
      </c>
    </row>
    <row r="5">
      <c r="A5" t="inlineStr">
        <is>
          <t>Story Point Value: $600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60" customWidth="1" min="3" max="3"/>
    <col width="12" customWidth="1" min="4" max="4"/>
    <col width="12" customWidth="1" min="5" max="5"/>
    <col width="15" customWidth="1" min="6" max="6"/>
    <col width="20" customWidth="1" min="7" max="7"/>
    <col width="15" customWidth="1" min="8" max="8"/>
    <col width="20" customWidth="1" min="9" max="9"/>
    <col width="30" customWidth="1" min="10" max="10"/>
  </cols>
  <sheetData>
    <row r="1">
      <c r="A1" s="11" t="inlineStr">
        <is>
          <t>PRJ-10053 - Jira Stories</t>
        </is>
      </c>
    </row>
    <row r="3">
      <c r="A3" s="15" t="inlineStr">
        <is>
          <t>Story Key</t>
        </is>
      </c>
      <c r="B3" s="15" t="inlineStr">
        <is>
          <t>Summary</t>
        </is>
      </c>
      <c r="C3" s="15" t="inlineStr">
        <is>
          <t>Description</t>
        </is>
      </c>
      <c r="D3" s="15" t="inlineStr">
        <is>
          <t>Story Points</t>
        </is>
      </c>
      <c r="E3" s="15" t="inlineStr">
        <is>
          <t>Priority</t>
        </is>
      </c>
      <c r="F3" s="15" t="inlineStr">
        <is>
          <t>Status</t>
        </is>
      </c>
      <c r="G3" s="15" t="inlineStr">
        <is>
          <t>Assignee</t>
        </is>
      </c>
      <c r="H3" s="15" t="inlineStr">
        <is>
          <t>Sprint</t>
        </is>
      </c>
      <c r="I3" s="15" t="inlineStr">
        <is>
          <t>Component</t>
        </is>
      </c>
      <c r="J3" s="15" t="inlineStr">
        <is>
          <t>Labels</t>
        </is>
      </c>
    </row>
    <row r="4">
      <c r="A4" s="8" t="inlineStr">
        <is>
          <t>WHS-3001</t>
        </is>
      </c>
      <c r="B4" s="8" t="inlineStr">
        <is>
          <t>Implement slot optimization algorithm (SVC6010)</t>
        </is>
      </c>
      <c r="C4" s="8" t="inlineStr">
        <is>
          <t>As a system, I need to assign optimal warehouse slots based on SKU velocity and pick efficiency.
Acceptance Criteria:
- ABC classification (Top 20% = A, Next 30% = B, Bottom 50% = C)
- Zone assignment: Golden/Standard/Bulk zones
- Slot selection based on dimensions and proximity to staging
- Support for FIFO rotation requirements
- Bin packing algorithm for space optimization</t>
        </is>
      </c>
      <c r="D4" s="8" t="n">
        <v>13</v>
      </c>
      <c r="E4" s="8" t="inlineStr">
        <is>
          <t>High</t>
        </is>
      </c>
      <c r="F4" s="8" t="inlineStr">
        <is>
          <t>To Do</t>
        </is>
      </c>
      <c r="G4" s="8" t="inlineStr">
        <is>
          <t>U.Jackson</t>
        </is>
      </c>
      <c r="H4" s="8" t="inlineStr">
        <is>
          <t>Sprint 1</t>
        </is>
      </c>
      <c r="I4" s="8" t="inlineStr">
        <is>
          <t>Warehouse Management</t>
        </is>
      </c>
      <c r="J4" s="8" t="inlineStr">
        <is>
          <t>backend, algorithm, optimization, slotting</t>
        </is>
      </c>
    </row>
    <row r="5">
      <c r="A5" s="8" t="inlineStr">
        <is>
          <t>WHS-3002</t>
        </is>
      </c>
      <c r="B5" s="8" t="inlineStr">
        <is>
          <t>Build velocity analysis engine (SVC6011)</t>
        </is>
      </c>
      <c r="C5" s="8" t="inlineStr">
        <is>
          <t>As a system, I need to analyze SKU velocity for slotting decisions.
Acceptance Criteria:
- Calculate velocity from 12-month historical sales data
- ABC classification logic
- Trend analysis for seasonal products
- Re-classification triggers (velocity change &gt; 25% over 4 weeks)
- Export velocity reports</t>
        </is>
      </c>
      <c r="D5" s="8" t="n">
        <v>8</v>
      </c>
      <c r="E5" s="8" t="inlineStr">
        <is>
          <t>High</t>
        </is>
      </c>
      <c r="F5" s="8" t="inlineStr">
        <is>
          <t>To Do</t>
        </is>
      </c>
      <c r="G5" s="8" t="inlineStr">
        <is>
          <t>V.Harris</t>
        </is>
      </c>
      <c r="H5" s="8" t="inlineStr">
        <is>
          <t>Sprint 1</t>
        </is>
      </c>
      <c r="I5" s="8" t="inlineStr">
        <is>
          <t>Warehouse Management</t>
        </is>
      </c>
      <c r="J5" s="8" t="inlineStr">
        <is>
          <t>backend, analytics, velocity, classification</t>
        </is>
      </c>
    </row>
    <row r="6">
      <c r="A6" s="8" t="inlineStr">
        <is>
          <t>WHS-3003</t>
        </is>
      </c>
      <c r="B6" s="8" t="inlineStr">
        <is>
          <t>Create pick path calculator (SVC6012)</t>
        </is>
      </c>
      <c r="C6" s="8" t="inlineStr">
        <is>
          <t>As a system, I need to calculate optimal pick paths to minimize travel time.
Acceptance Criteria:
- Distance calculation from staging area
- Pick path optimization algorithm
- Support for different picking strategies (zone, batch, wave)
- Integration with warehouse layout data
- Path simulation and testing capability</t>
        </is>
      </c>
      <c r="D6" s="8" t="n">
        <v>8</v>
      </c>
      <c r="E6" s="8" t="inlineStr">
        <is>
          <t>Medium</t>
        </is>
      </c>
      <c r="F6" s="8" t="inlineStr">
        <is>
          <t>To Do</t>
        </is>
      </c>
      <c r="G6" s="8" t="inlineStr">
        <is>
          <t>W.Clark</t>
        </is>
      </c>
      <c r="H6" s="8" t="inlineStr">
        <is>
          <t>Sprint 2</t>
        </is>
      </c>
      <c r="I6" s="8" t="inlineStr">
        <is>
          <t>Warehouse Management</t>
        </is>
      </c>
      <c r="J6" s="8" t="inlineStr">
        <is>
          <t>backend, optimization, pick-path, algorithm</t>
        </is>
      </c>
    </row>
    <row r="7">
      <c r="A7" s="8" t="inlineStr">
        <is>
          <t>WHS-3004</t>
        </is>
      </c>
      <c r="B7" s="8" t="inlineStr">
        <is>
          <t>Develop weekly re-slotting batch job (BTH6010)</t>
        </is>
      </c>
      <c r="C7" s="8" t="inlineStr">
        <is>
          <t>As an operations team, I need weekly re-slotting recommendations based on velocity changes.
Acceptance Criteria:
- Scheduled job runs every Sunday at 02:00 AM
- Identify SKUs requiring re-slotting
- Generate recommended slot changes
- Calculate disruption impact and priority
- Email recommendations to warehouse managers</t>
        </is>
      </c>
      <c r="D7" s="8" t="n">
        <v>5</v>
      </c>
      <c r="E7" s="8" t="inlineStr">
        <is>
          <t>Medium</t>
        </is>
      </c>
      <c r="F7" s="8" t="inlineStr">
        <is>
          <t>To Do</t>
        </is>
      </c>
      <c r="G7" s="8" t="inlineStr">
        <is>
          <t>X.Rodriguez</t>
        </is>
      </c>
      <c r="H7" s="8" t="inlineStr">
        <is>
          <t>Sprint 2</t>
        </is>
      </c>
      <c r="I7" s="8" t="inlineStr">
        <is>
          <t>Batch Processing</t>
        </is>
      </c>
      <c r="J7" s="8" t="inlineStr">
        <is>
          <t>backend, batch, re-slotting, scheduler</t>
        </is>
      </c>
    </row>
    <row r="8">
      <c r="A8" s="8" t="inlineStr">
        <is>
          <t>WHS-3005</t>
        </is>
      </c>
      <c r="B8" s="8" t="inlineStr">
        <is>
          <t>Build zone utilization reporting (BTH6011)</t>
        </is>
      </c>
      <c r="C8" s="8" t="inlineStr">
        <is>
          <t>As a warehouse manager, I need daily reports on zone utilization.
Acceptance Criteria:
- Daily utilization report by zone
- Capacity alerts for zones exceeding thresholds
- Trending analysis (weekly/monthly)
- Visual heat maps of warehouse utilization
- Export to Excel for analysis</t>
        </is>
      </c>
      <c r="D8" s="8" t="n">
        <v>5</v>
      </c>
      <c r="E8" s="8" t="inlineStr">
        <is>
          <t>Low</t>
        </is>
      </c>
      <c r="F8" s="8" t="inlineStr">
        <is>
          <t>To Do</t>
        </is>
      </c>
      <c r="G8" s="8" t="inlineStr">
        <is>
          <t>Y.Lewis</t>
        </is>
      </c>
      <c r="H8" s="8" t="inlineStr">
        <is>
          <t>Sprint 3</t>
        </is>
      </c>
      <c r="I8" s="8" t="inlineStr">
        <is>
          <t>Reporting</t>
        </is>
      </c>
      <c r="J8" s="8" t="inlineStr">
        <is>
          <t>backend, reporting, utilization, dashboard</t>
        </is>
      </c>
    </row>
    <row r="9">
      <c r="A9" s="8" t="inlineStr">
        <is>
          <t>WHS-3006</t>
        </is>
      </c>
      <c r="B9" s="8" t="inlineStr">
        <is>
          <t>Design warehouse slot database schema</t>
        </is>
      </c>
      <c r="C9" s="8" t="inlineStr">
        <is>
          <t>As a system, I need database tables for slot assignments and velocity metrics.
Acceptance Criteria:
- Create TBL_SLOT_ASSIGN with assignment history
- Create TBL_VELOCITY with SKU velocity metrics
- Create TBL_ZONE_CONFIG for zone capacity rules
- Indexes on SKU, warehouse, zone
- Migration scripts and seed data</t>
        </is>
      </c>
      <c r="D9" s="8" t="n">
        <v>5</v>
      </c>
      <c r="E9" s="8" t="inlineStr">
        <is>
          <t>High</t>
        </is>
      </c>
      <c r="F9" s="8" t="inlineStr">
        <is>
          <t>To Do</t>
        </is>
      </c>
      <c r="G9" s="8" t="inlineStr">
        <is>
          <t>Z.Walker</t>
        </is>
      </c>
      <c r="H9" s="8" t="inlineStr">
        <is>
          <t>Sprint 1</t>
        </is>
      </c>
      <c r="I9" s="8" t="inlineStr">
        <is>
          <t>Database</t>
        </is>
      </c>
      <c r="J9" s="8" t="inlineStr">
        <is>
          <t>backend, database, schema, migration</t>
        </is>
      </c>
    </row>
  </sheetData>
  <autoFilter ref="A3:J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2026-01-24T04:24:57Z</dcterms:created>
  <dcterms:modified xmlns:dcterms="http://purl.org/dc/terms/" xmlns:xsi="http://www.w3.org/2001/XMLSchema-instance" xsi:type="dcterms:W3CDTF">2026-01-24T04:24:57Z</dcterms:modified>
</cp:coreProperties>
</file>